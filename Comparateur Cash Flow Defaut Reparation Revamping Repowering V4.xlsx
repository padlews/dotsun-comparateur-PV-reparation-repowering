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b4d2d7d1da004e/Desktop/Projet DOTSun/Marketing/"/>
    </mc:Choice>
  </mc:AlternateContent>
  <xr:revisionPtr revIDLastSave="26" documentId="13_ncr:1_{12D91BEB-E0C0-4F9D-9E1B-BE9E7BDF9995}" xr6:coauthVersionLast="47" xr6:coauthVersionMax="47" xr10:uidLastSave="{E0608170-1B29-4071-87BE-3B2ECA82FA5A}"/>
  <bookViews>
    <workbookView xWindow="-38520" yWindow="-120" windowWidth="38640" windowHeight="15840" activeTab="1" xr2:uid="{CA676A32-BE72-48AB-A881-37D7D6D8BAC6}"/>
  </bookViews>
  <sheets>
    <sheet name="Scenario 1" sheetId="1" r:id="rId1"/>
    <sheet name="Scenario 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0" i="4" l="1"/>
  <c r="I67" i="4"/>
  <c r="H67" i="4"/>
  <c r="J67" i="4" s="1"/>
  <c r="G67" i="4"/>
  <c r="F67" i="4"/>
  <c r="E67" i="4"/>
  <c r="I66" i="4"/>
  <c r="I70" i="4" s="1"/>
  <c r="G66" i="4"/>
  <c r="G61" i="4"/>
  <c r="D56" i="4"/>
  <c r="G57" i="4" s="1"/>
  <c r="F53" i="4"/>
  <c r="H27" i="4"/>
  <c r="G27" i="4"/>
  <c r="F27" i="4"/>
  <c r="K26" i="4"/>
  <c r="H25" i="4"/>
  <c r="G25" i="4"/>
  <c r="F25" i="4"/>
  <c r="J25" i="4" s="1"/>
  <c r="E18" i="4"/>
  <c r="E16" i="4"/>
  <c r="H29" i="4" s="1"/>
  <c r="N15" i="4"/>
  <c r="L26" i="4" s="1"/>
  <c r="Q12" i="4"/>
  <c r="O12" i="4"/>
  <c r="E6" i="4"/>
  <c r="F28" i="1"/>
  <c r="I67" i="1"/>
  <c r="I66" i="1"/>
  <c r="I70" i="1" s="1"/>
  <c r="K26" i="1"/>
  <c r="G25" i="1"/>
  <c r="H25" i="1"/>
  <c r="F25" i="1"/>
  <c r="J25" i="1" s="1"/>
  <c r="H27" i="1"/>
  <c r="G27" i="1"/>
  <c r="F27" i="1"/>
  <c r="Q12" i="1"/>
  <c r="O12" i="1"/>
  <c r="N15" i="1"/>
  <c r="O15" i="1" s="1"/>
  <c r="H67" i="1"/>
  <c r="J67" i="1" s="1"/>
  <c r="F67" i="1"/>
  <c r="G67" i="1"/>
  <c r="E67" i="1"/>
  <c r="G66" i="1"/>
  <c r="E70" i="1"/>
  <c r="G61" i="1"/>
  <c r="D56" i="1"/>
  <c r="G57" i="1" s="1"/>
  <c r="F53" i="1"/>
  <c r="E16" i="1"/>
  <c r="H32" i="1" s="1"/>
  <c r="E18" i="1"/>
  <c r="F32" i="1" s="1"/>
  <c r="E6" i="1"/>
  <c r="F32" i="4" l="1"/>
  <c r="G32" i="4"/>
  <c r="J32" i="4" s="1"/>
  <c r="H32" i="4"/>
  <c r="G29" i="4"/>
  <c r="J29" i="4" s="1"/>
  <c r="H30" i="4"/>
  <c r="E66" i="4"/>
  <c r="E29" i="4"/>
  <c r="E30" i="4" s="1"/>
  <c r="P12" i="4"/>
  <c r="P15" i="4" s="1"/>
  <c r="F28" i="4"/>
  <c r="F29" i="4"/>
  <c r="F30" i="4" s="1"/>
  <c r="O15" i="4"/>
  <c r="E32" i="4"/>
  <c r="G70" i="4"/>
  <c r="L26" i="1"/>
  <c r="G32" i="1"/>
  <c r="J32" i="1" s="1"/>
  <c r="F29" i="1"/>
  <c r="F30" i="1" s="1"/>
  <c r="F33" i="1" s="1"/>
  <c r="P12" i="1"/>
  <c r="P15" i="1" s="1"/>
  <c r="Q15" i="1" s="1"/>
  <c r="E66" i="1"/>
  <c r="G70" i="1"/>
  <c r="G29" i="1"/>
  <c r="H29" i="1"/>
  <c r="H30" i="1" s="1"/>
  <c r="E29" i="1"/>
  <c r="E30" i="1" s="1"/>
  <c r="E32" i="1"/>
  <c r="H33" i="4" l="1"/>
  <c r="F33" i="4"/>
  <c r="G30" i="4"/>
  <c r="G33" i="4" s="1"/>
  <c r="Q15" i="4"/>
  <c r="J27" i="4"/>
  <c r="J30" i="4" s="1"/>
  <c r="J33" i="4" s="1"/>
  <c r="E33" i="4"/>
  <c r="G30" i="1"/>
  <c r="G33" i="1" s="1"/>
  <c r="J29" i="1"/>
  <c r="J27" i="1"/>
  <c r="H33" i="1"/>
  <c r="E33" i="1"/>
  <c r="J35" i="4" l="1"/>
  <c r="J36" i="4" s="1"/>
  <c r="G35" i="4"/>
  <c r="G36" i="4" s="1"/>
  <c r="H35" i="4"/>
  <c r="H36" i="4" s="1"/>
  <c r="F35" i="4"/>
  <c r="F36" i="4" s="1"/>
  <c r="J30" i="1"/>
  <c r="J33" i="1" s="1"/>
  <c r="J35" i="1" s="1"/>
  <c r="J36" i="1" s="1"/>
  <c r="H35" i="1"/>
  <c r="H36" i="1" s="1"/>
  <c r="F35" i="1"/>
  <c r="F36" i="1" s="1"/>
  <c r="G35" i="1"/>
  <c r="G36" i="1" s="1"/>
</calcChain>
</file>

<file path=xl/sharedStrings.xml><?xml version="1.0" encoding="utf-8"?>
<sst xmlns="http://schemas.openxmlformats.org/spreadsheetml/2006/main" count="250" uniqueCount="105">
  <si>
    <t>n</t>
  </si>
  <si>
    <t>Pm</t>
  </si>
  <si>
    <t>Crep</t>
  </si>
  <si>
    <t>Cfac</t>
  </si>
  <si>
    <t>H</t>
  </si>
  <si>
    <t>kWh/kWc/an</t>
  </si>
  <si>
    <t>Wc</t>
  </si>
  <si>
    <t>p</t>
  </si>
  <si>
    <r>
      <rPr>
        <sz val="11"/>
        <color theme="1"/>
        <rFont val="Aptos"/>
        <family val="2"/>
        <charset val="1"/>
      </rPr>
      <t>€</t>
    </r>
    <r>
      <rPr>
        <sz val="11"/>
        <color theme="1"/>
        <rFont val="Aptos Narrow"/>
        <family val="2"/>
      </rPr>
      <t>/kWh</t>
    </r>
  </si>
  <si>
    <t>d</t>
  </si>
  <si>
    <t>par an</t>
  </si>
  <si>
    <t>N</t>
  </si>
  <si>
    <t>I2</t>
  </si>
  <si>
    <t>Y</t>
  </si>
  <si>
    <t>puissance d'un panneau</t>
  </si>
  <si>
    <t>Productible specifique</t>
  </si>
  <si>
    <t>prix achat EDF OA</t>
  </si>
  <si>
    <t>degradation annuelle panneau</t>
  </si>
  <si>
    <t>par Wc</t>
  </si>
  <si>
    <t>par panneau</t>
  </si>
  <si>
    <t>fo</t>
  </si>
  <si>
    <t>Crev</t>
  </si>
  <si>
    <t>u</t>
  </si>
  <si>
    <t>mois</t>
  </si>
  <si>
    <t>Reparation</t>
  </si>
  <si>
    <t>Revamping</t>
  </si>
  <si>
    <t>CAPEX</t>
  </si>
  <si>
    <t>uplift repowering</t>
  </si>
  <si>
    <t>Repowering</t>
  </si>
  <si>
    <t>Down-reparation et revamping</t>
  </si>
  <si>
    <t>Down-repowering</t>
  </si>
  <si>
    <t>Definition:</t>
  </si>
  <si>
    <t>Defaut</t>
  </si>
  <si>
    <t>dn</t>
  </si>
  <si>
    <t>Pas de production</t>
  </si>
  <si>
    <t>Nombre de panneaux</t>
  </si>
  <si>
    <t>RSE</t>
  </si>
  <si>
    <t>Remplacement de toute l'installation PV, panneaux de derniere generation, rack, onduleur,…</t>
  </si>
  <si>
    <t>Solution EU  (France)</t>
  </si>
  <si>
    <t>Age de la centrale à date de prise en charge</t>
  </si>
  <si>
    <t>(Calculé) - Efficacité effective des panneaux à date de la prise en charge</t>
  </si>
  <si>
    <t>Pcentrale</t>
  </si>
  <si>
    <t>kWc</t>
  </si>
  <si>
    <t>(Calculé) - Puissance nominale de la centrale</t>
  </si>
  <si>
    <t xml:space="preserve">en rouge </t>
  </si>
  <si>
    <t>Parametres ajustables</t>
  </si>
  <si>
    <t>Hyp:</t>
  </si>
  <si>
    <t>Panneaux à date du projet sont tous reparables (degradaton au dessus du seuil de guarrantie,…)</t>
  </si>
  <si>
    <t>100% des panneaux sont traités</t>
  </si>
  <si>
    <t>Cout panneau "à facon" / Wc - delivré sur site</t>
  </si>
  <si>
    <t>Reparation du panneau - Traitement de son integrité electrique</t>
  </si>
  <si>
    <t>Remplacement des panneaux par des "à facon", ie formats et caracteristiques electriques similaires</t>
  </si>
  <si>
    <t>% vs defaut</t>
  </si>
  <si>
    <t>nombre d'année residuelle d'exploitation (Contrat EDF OA - 20 ans)</t>
  </si>
  <si>
    <r>
      <t>Cout reparation est donné pour un format</t>
    </r>
    <r>
      <rPr>
        <sz val="11"/>
        <color theme="1"/>
        <rFont val="Aptos Narrow"/>
        <family val="2"/>
      </rPr>
      <t xml:space="preserve"> 60 cellules standard - operation manuelle</t>
    </r>
  </si>
  <si>
    <t>Capacité supplementaire - projet repowering</t>
  </si>
  <si>
    <t>Degradation annuelle panneau si rien est fait</t>
  </si>
  <si>
    <t>La reparation  de reset pas la degradation "naturelle" des cellules.  Le revamping oui (panneaux neufs)</t>
  </si>
  <si>
    <t>CALCUL</t>
  </si>
  <si>
    <t>∆CCF</t>
  </si>
  <si>
    <t>Cummulative Revenus residuel (EDF OA)</t>
  </si>
  <si>
    <t>N1</t>
  </si>
  <si>
    <t>années</t>
  </si>
  <si>
    <t>Tarification Achat</t>
  </si>
  <si>
    <t>PPA, Aggregateur,….</t>
  </si>
  <si>
    <t>Cummulative Cash Flow residuel (EDF OA)</t>
  </si>
  <si>
    <t>Excludes O&amp;M cost - cout annuel (nettoyage, inspection,…) equivalent pour tous</t>
  </si>
  <si>
    <t>On ne fait rien, le panneaux sont sur une trajectoire de degradation accelerée</t>
  </si>
  <si>
    <t>EDF OA</t>
  </si>
  <si>
    <t>ans</t>
  </si>
  <si>
    <t>PPA</t>
  </si>
  <si>
    <t>Nombre de Panneaux</t>
  </si>
  <si>
    <t>Puissance Residuelle</t>
  </si>
  <si>
    <t>Gap Puissance (nominale)</t>
  </si>
  <si>
    <t>Puissance Panneaux (Nominale)</t>
  </si>
  <si>
    <t>Puissance Panneaux (à facon)</t>
  </si>
  <si>
    <t>Panneaux à Remplacer</t>
  </si>
  <si>
    <t>Remise à puissance Nominale</t>
  </si>
  <si>
    <t>Remplacement des panneaux non reparables par des panneaux à facon plus puissants</t>
  </si>
  <si>
    <t>Cdm</t>
  </si>
  <si>
    <t>Cout demontage / Remontage</t>
  </si>
  <si>
    <t>Cde</t>
  </si>
  <si>
    <t>Cout EPC repowering - clé en main</t>
  </si>
  <si>
    <t>N2</t>
  </si>
  <si>
    <t>Nombre d'année d'exploitation supplementaire hors Contrat EDF OA - Repowering</t>
  </si>
  <si>
    <t>Nombre d'année d'exploitation supplementaire hors Contrat EDF OA - Reparation / Revamping</t>
  </si>
  <si>
    <t>Cummulative Cash Flow residuel TOTAL (avant + apres OA)</t>
  </si>
  <si>
    <t>Cummulative Revenus residuel (apres EDF OA)</t>
  </si>
  <si>
    <t>Note:</t>
  </si>
  <si>
    <t>Autres benefices;</t>
  </si>
  <si>
    <t>Reset puissance nominale possible</t>
  </si>
  <si>
    <t>Reparation partielle possible, graduelle,..</t>
  </si>
  <si>
    <t>Un projet va merger ces 2 scenarios</t>
  </si>
  <si>
    <t>Panneaux non reparables replacés par des panneaux "à facon"</t>
  </si>
  <si>
    <t>Reparation - 100%</t>
  </si>
  <si>
    <t>Revamping - 100%</t>
  </si>
  <si>
    <t>Repowering - 110%</t>
  </si>
  <si>
    <t>Reparation - Revamping</t>
  </si>
  <si>
    <t>Extension (années)</t>
  </si>
  <si>
    <t>Repowering - no limits + new model, ie with storage, spot price,….</t>
  </si>
  <si>
    <t>Power vs nominal</t>
  </si>
  <si>
    <t>Cout reparation par panneau - reparation industrielle + logistique</t>
  </si>
  <si>
    <t>Cout demantelement centrale + recyclage</t>
  </si>
  <si>
    <t>Cout demantelement centrale + recylcage (4-7 cents /Wc)</t>
  </si>
  <si>
    <t>Cout reparation par panneau - reparation sur site + logistique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</si>
</sst>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CHF&quot;_-;\-* #,##0.00\ &quot;CHF&quot;_-;_-* &quot;-&quot;??\ &quot;CHF&quot;_-;_-@_-"/>
    <numFmt numFmtId="164" formatCode="_-* #,##0.00\ [$€-40C]_-;\-* #,##0.00\ [$€-40C]_-;_-* &quot;-&quot;??\ [$€-40C]_-;_-@_-"/>
    <numFmt numFmtId="165" formatCode="_-* #,##0\ [$€-40C]_-;\-* #,##0\ [$€-40C]_-;_-* &quot;-&quot;??\ [$€-40C]_-;_-@_-"/>
    <numFmt numFmtId="166" formatCode="_-* #,##0.0\ [$€-40C]_-;\-* #,##0.0\ [$€-40C]_-;_-* &quot;-&quot;??\ [$€-40C]_-;_-@_-"/>
    <numFmt numFmtId="167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Aptos"/>
      <family val="2"/>
      <charset val="1"/>
    </font>
    <font>
      <sz val="11"/>
      <color theme="1"/>
      <name val="Aptos Narrow"/>
      <family val="2"/>
    </font>
    <font>
      <sz val="11"/>
      <color theme="1"/>
      <name val="Aptos Narrow"/>
      <family val="2"/>
      <charset val="1"/>
    </font>
    <font>
      <b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/>
    <xf numFmtId="165" fontId="2" fillId="0" borderId="1" xfId="0" applyNumberFormat="1" applyFont="1" applyBorder="1"/>
    <xf numFmtId="165" fontId="2" fillId="0" borderId="1" xfId="0" applyNumberFormat="1" applyFont="1" applyBorder="1" applyAlignment="1">
      <alignment horizontal="left" indent="1"/>
    </xf>
    <xf numFmtId="0" fontId="9" fillId="0" borderId="1" xfId="0" applyFont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165" fontId="11" fillId="0" borderId="1" xfId="0" applyNumberFormat="1" applyFont="1" applyBorder="1"/>
    <xf numFmtId="164" fontId="0" fillId="3" borderId="1" xfId="0" applyNumberFormat="1" applyFill="1" applyBorder="1"/>
    <xf numFmtId="0" fontId="13" fillId="0" borderId="0" xfId="0" applyFont="1" applyAlignment="1">
      <alignment horizontal="left"/>
    </xf>
    <xf numFmtId="165" fontId="12" fillId="0" borderId="1" xfId="0" applyNumberFormat="1" applyFont="1" applyBorder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3" fillId="0" borderId="0" xfId="0" applyFont="1"/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8" fillId="0" borderId="1" xfId="1" applyNumberFormat="1" applyFont="1" applyBorder="1" applyAlignment="1">
      <alignment horizontal="center"/>
    </xf>
    <xf numFmtId="10" fontId="8" fillId="0" borderId="1" xfId="0" applyNumberFormat="1" applyFont="1" applyBorder="1" applyAlignment="1">
      <alignment horizontal="center"/>
    </xf>
    <xf numFmtId="167" fontId="2" fillId="0" borderId="1" xfId="2" applyNumberFormat="1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0" fillId="0" borderId="2" xfId="0" applyBorder="1"/>
    <xf numFmtId="0" fontId="8" fillId="0" borderId="3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7" fillId="0" borderId="6" xfId="0" applyFont="1" applyBorder="1"/>
    <xf numFmtId="164" fontId="12" fillId="0" borderId="1" xfId="0" applyNumberFormat="1" applyFont="1" applyBorder="1"/>
    <xf numFmtId="10" fontId="12" fillId="0" borderId="1" xfId="2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7" fillId="0" borderId="0" xfId="0" applyFont="1"/>
    <xf numFmtId="0" fontId="0" fillId="0" borderId="10" xfId="0" applyBorder="1"/>
    <xf numFmtId="167" fontId="8" fillId="0" borderId="11" xfId="0" applyNumberFormat="1" applyFont="1" applyBorder="1" applyAlignment="1">
      <alignment horizontal="center"/>
    </xf>
    <xf numFmtId="0" fontId="0" fillId="0" borderId="12" xfId="0" applyBorder="1"/>
    <xf numFmtId="0" fontId="0" fillId="4" borderId="2" xfId="0" applyFill="1" applyBorder="1"/>
    <xf numFmtId="0" fontId="8" fillId="4" borderId="3" xfId="0" applyFont="1" applyFill="1" applyBorder="1" applyAlignment="1">
      <alignment horizontal="center"/>
    </xf>
    <xf numFmtId="0" fontId="0" fillId="4" borderId="4" xfId="0" applyFill="1" applyBorder="1"/>
    <xf numFmtId="0" fontId="0" fillId="4" borderId="7" xfId="0" applyFill="1" applyBorder="1"/>
    <xf numFmtId="164" fontId="8" fillId="4" borderId="8" xfId="0" applyNumberFormat="1" applyFont="1" applyFill="1" applyBorder="1" applyAlignment="1">
      <alignment horizontal="center"/>
    </xf>
    <xf numFmtId="0" fontId="7" fillId="4" borderId="9" xfId="0" applyFont="1" applyFill="1" applyBorder="1"/>
    <xf numFmtId="10" fontId="12" fillId="0" borderId="0" xfId="0" applyNumberFormat="1" applyFont="1"/>
    <xf numFmtId="0" fontId="17" fillId="0" borderId="0" xfId="0" applyFont="1"/>
    <xf numFmtId="167" fontId="12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/>
    <xf numFmtId="164" fontId="12" fillId="0" borderId="0" xfId="0" applyNumberFormat="1" applyFont="1"/>
    <xf numFmtId="0" fontId="12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5" fontId="0" fillId="0" borderId="0" xfId="0" applyNumberFormat="1"/>
    <xf numFmtId="0" fontId="2" fillId="4" borderId="1" xfId="0" applyFont="1" applyFill="1" applyBorder="1"/>
    <xf numFmtId="165" fontId="2" fillId="4" borderId="1" xfId="0" applyNumberFormat="1" applyFont="1" applyFill="1" applyBorder="1"/>
    <xf numFmtId="0" fontId="0" fillId="4" borderId="13" xfId="0" applyFill="1" applyBorder="1"/>
    <xf numFmtId="0" fontId="8" fillId="4" borderId="14" xfId="0" applyFont="1" applyFill="1" applyBorder="1" applyAlignment="1">
      <alignment horizontal="center"/>
    </xf>
    <xf numFmtId="0" fontId="0" fillId="4" borderId="15" xfId="0" applyFill="1" applyBorder="1"/>
    <xf numFmtId="0" fontId="2" fillId="4" borderId="1" xfId="0" applyFont="1" applyFill="1" applyBorder="1" applyAlignment="1">
      <alignment horizontal="center"/>
    </xf>
    <xf numFmtId="9" fontId="2" fillId="0" borderId="0" xfId="0" applyNumberFormat="1" applyFont="1"/>
    <xf numFmtId="0" fontId="2" fillId="0" borderId="11" xfId="0" applyFont="1" applyBorder="1"/>
    <xf numFmtId="165" fontId="2" fillId="0" borderId="11" xfId="0" applyNumberFormat="1" applyFont="1" applyBorder="1"/>
    <xf numFmtId="0" fontId="2" fillId="0" borderId="17" xfId="0" applyFont="1" applyBorder="1"/>
    <xf numFmtId="165" fontId="2" fillId="0" borderId="18" xfId="0" applyNumberFormat="1" applyFont="1" applyBorder="1"/>
    <xf numFmtId="165" fontId="2" fillId="0" borderId="18" xfId="0" applyNumberFormat="1" applyFont="1" applyBorder="1" applyAlignment="1">
      <alignment horizontal="left" indent="1"/>
    </xf>
    <xf numFmtId="165" fontId="2" fillId="0" borderId="19" xfId="0" applyNumberFormat="1" applyFont="1" applyBorder="1" applyAlignment="1">
      <alignment horizontal="left" indent="1"/>
    </xf>
    <xf numFmtId="0" fontId="2" fillId="0" borderId="20" xfId="0" applyFont="1" applyBorder="1"/>
    <xf numFmtId="165" fontId="2" fillId="0" borderId="14" xfId="0" applyNumberFormat="1" applyFont="1" applyBorder="1"/>
    <xf numFmtId="165" fontId="2" fillId="0" borderId="14" xfId="0" applyNumberFormat="1" applyFont="1" applyBorder="1" applyAlignment="1">
      <alignment horizontal="left" indent="1"/>
    </xf>
    <xf numFmtId="165" fontId="2" fillId="0" borderId="21" xfId="0" applyNumberFormat="1" applyFont="1" applyBorder="1" applyAlignment="1">
      <alignment horizontal="left" indent="1"/>
    </xf>
    <xf numFmtId="0" fontId="2" fillId="4" borderId="2" xfId="0" applyFont="1" applyFill="1" applyBorder="1"/>
    <xf numFmtId="165" fontId="2" fillId="4" borderId="3" xfId="0" applyNumberFormat="1" applyFont="1" applyFill="1" applyBorder="1"/>
    <xf numFmtId="165" fontId="2" fillId="4" borderId="3" xfId="0" applyNumberFormat="1" applyFont="1" applyFill="1" applyBorder="1" applyAlignment="1">
      <alignment horizontal="left" indent="1"/>
    </xf>
    <xf numFmtId="165" fontId="2" fillId="4" borderId="4" xfId="0" applyNumberFormat="1" applyFont="1" applyFill="1" applyBorder="1" applyAlignment="1">
      <alignment horizontal="left" indent="1"/>
    </xf>
    <xf numFmtId="0" fontId="2" fillId="4" borderId="7" xfId="0" applyFont="1" applyFill="1" applyBorder="1"/>
    <xf numFmtId="165" fontId="2" fillId="4" borderId="8" xfId="0" applyNumberFormat="1" applyFont="1" applyFill="1" applyBorder="1"/>
    <xf numFmtId="165" fontId="2" fillId="4" borderId="9" xfId="0" applyNumberFormat="1" applyFont="1" applyFill="1" applyBorder="1"/>
    <xf numFmtId="10" fontId="2" fillId="0" borderId="11" xfId="2" applyNumberFormat="1" applyFont="1" applyFill="1" applyBorder="1" applyAlignment="1">
      <alignment horizontal="center"/>
    </xf>
    <xf numFmtId="0" fontId="2" fillId="0" borderId="22" xfId="0" applyFont="1" applyBorder="1"/>
    <xf numFmtId="0" fontId="0" fillId="0" borderId="23" xfId="0" applyBorder="1"/>
    <xf numFmtId="0" fontId="2" fillId="0" borderId="23" xfId="0" applyFont="1" applyBorder="1"/>
    <xf numFmtId="166" fontId="2" fillId="0" borderId="23" xfId="0" applyNumberFormat="1" applyFont="1" applyBorder="1"/>
    <xf numFmtId="0" fontId="2" fillId="0" borderId="24" xfId="0" applyFont="1" applyBorder="1"/>
    <xf numFmtId="0" fontId="0" fillId="0" borderId="25" xfId="0" applyBorder="1"/>
    <xf numFmtId="0" fontId="0" fillId="0" borderId="26" xfId="0" applyBorder="1"/>
    <xf numFmtId="0" fontId="2" fillId="0" borderId="26" xfId="0" applyFont="1" applyBorder="1"/>
    <xf numFmtId="0" fontId="2" fillId="0" borderId="27" xfId="0" applyFont="1" applyBorder="1"/>
    <xf numFmtId="0" fontId="14" fillId="0" borderId="23" xfId="0" applyFont="1" applyBorder="1"/>
    <xf numFmtId="0" fontId="0" fillId="0" borderId="24" xfId="0" applyBorder="1"/>
    <xf numFmtId="0" fontId="0" fillId="0" borderId="28" xfId="0" applyBorder="1"/>
    <xf numFmtId="0" fontId="0" fillId="0" borderId="29" xfId="0" applyBorder="1"/>
    <xf numFmtId="0" fontId="14" fillId="0" borderId="26" xfId="0" applyFont="1" applyBorder="1"/>
    <xf numFmtId="0" fontId="0" fillId="0" borderId="27" xfId="0" applyBorder="1"/>
    <xf numFmtId="10" fontId="2" fillId="0" borderId="0" xfId="2" applyNumberFormat="1" applyFont="1" applyFill="1" applyBorder="1" applyAlignment="1">
      <alignment horizontal="center"/>
    </xf>
    <xf numFmtId="10" fontId="12" fillId="0" borderId="0" xfId="2" applyNumberFormat="1" applyFont="1" applyFill="1" applyBorder="1" applyAlignment="1">
      <alignment horizontal="center"/>
    </xf>
    <xf numFmtId="0" fontId="18" fillId="0" borderId="0" xfId="0" applyFont="1"/>
    <xf numFmtId="0" fontId="10" fillId="2" borderId="3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65" fontId="12" fillId="0" borderId="16" xfId="0" applyNumberFormat="1" applyFont="1" applyBorder="1"/>
    <xf numFmtId="9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10" fillId="0" borderId="0" xfId="0" applyFont="1" applyAlignment="1">
      <alignment horizontal="center"/>
    </xf>
    <xf numFmtId="164" fontId="2" fillId="0" borderId="0" xfId="0" applyNumberFormat="1" applyFont="1"/>
    <xf numFmtId="0" fontId="8" fillId="0" borderId="0" xfId="0" applyFont="1"/>
    <xf numFmtId="9" fontId="8" fillId="0" borderId="0" xfId="0" applyNumberFormat="1" applyFont="1" applyAlignment="1">
      <alignment horizontal="center"/>
    </xf>
    <xf numFmtId="164" fontId="12" fillId="0" borderId="11" xfId="0" applyNumberFormat="1" applyFont="1" applyBorder="1"/>
    <xf numFmtId="0" fontId="13" fillId="0" borderId="11" xfId="0" applyFont="1" applyBorder="1" applyAlignment="1">
      <alignment horizontal="right"/>
    </xf>
    <xf numFmtId="9" fontId="19" fillId="0" borderId="11" xfId="2" applyFont="1" applyBorder="1" applyAlignment="1">
      <alignment horizontal="center"/>
    </xf>
    <xf numFmtId="9" fontId="19" fillId="0" borderId="14" xfId="2" applyFont="1" applyBorder="1" applyAlignment="1">
      <alignment horizontal="center"/>
    </xf>
    <xf numFmtId="9" fontId="18" fillId="0" borderId="1" xfId="2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937120763130417"/>
          <c:y val="0.13080097899144305"/>
          <c:w val="0.87091553071995031"/>
          <c:h val="0.62222151056047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'Scenario 1'!$D$27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1'!$E$26:$H$26</c:f>
              <c:strCache>
                <c:ptCount val="4"/>
                <c:pt idx="0">
                  <c:v>Defaut</c:v>
                </c:pt>
                <c:pt idx="1">
                  <c:v>Reparation - 100%</c:v>
                </c:pt>
                <c:pt idx="2">
                  <c:v>Revamping - 100%</c:v>
                </c:pt>
                <c:pt idx="3">
                  <c:v>Repowering - 110%</c:v>
                </c:pt>
              </c:strCache>
            </c:strRef>
          </c:cat>
          <c:val>
            <c:numRef>
              <c:f>'Scenario 1'!$E$27:$H$27</c:f>
              <c:numCache>
                <c:formatCode>_-* #,##0\ [$€-40C]_-;\-* #,##0\ [$€-40C]_-;_-* "-"??\ [$€-40C]_-;_-@_-</c:formatCode>
                <c:ptCount val="4"/>
                <c:pt idx="0" formatCode="_-* #,##0.00\ [$€-40C]_-;\-* #,##0.00\ [$€-40C]_-;_-* &quot;-&quot;??\ [$€-40C]_-;_-@_-">
                  <c:v>0</c:v>
                </c:pt>
                <c:pt idx="1">
                  <c:v>1160000</c:v>
                </c:pt>
                <c:pt idx="2">
                  <c:v>3160000</c:v>
                </c:pt>
                <c:pt idx="3">
                  <c:v>7200000.0000000009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B-4CC9-A442-80147437B716}"/>
            </c:ext>
          </c:extLst>
        </c:ser>
        <c:ser>
          <c:idx val="1"/>
          <c:order val="1"/>
          <c:tx>
            <c:strRef>
              <c:f>'Scenario 1'!$D$29</c:f>
              <c:strCache>
                <c:ptCount val="1"/>
                <c:pt idx="0">
                  <c:v>Cummulative Revenus residuel (EDF OA)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'Scenario 1'!$E$26:$H$26</c:f>
              <c:strCache>
                <c:ptCount val="4"/>
                <c:pt idx="0">
                  <c:v>Defaut</c:v>
                </c:pt>
                <c:pt idx="1">
                  <c:v>Reparation - 100%</c:v>
                </c:pt>
                <c:pt idx="2">
                  <c:v>Revamping - 100%</c:v>
                </c:pt>
                <c:pt idx="3">
                  <c:v>Repowering - 110%</c:v>
                </c:pt>
              </c:strCache>
            </c:strRef>
          </c:cat>
          <c:val>
            <c:numRef>
              <c:f>'Scenario 1'!$E$29:$H$29</c:f>
              <c:numCache>
                <c:formatCode>_-* #,##0\ [$€-40C]_-;\-* #,##0\ [$€-40C]_-;_-* "-"??\ [$€-40C]_-;_-@_-</c:formatCode>
                <c:ptCount val="4"/>
                <c:pt idx="0">
                  <c:v>8702044.3705925196</c:v>
                </c:pt>
                <c:pt idx="1">
                  <c:v>11020581.662703317</c:v>
                </c:pt>
                <c:pt idx="2">
                  <c:v>11471260.250892438</c:v>
                </c:pt>
                <c:pt idx="3">
                  <c:v>11893715.133564001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B-4CC9-A442-80147437B716}"/>
            </c:ext>
          </c:extLst>
        </c:ser>
        <c:ser>
          <c:idx val="2"/>
          <c:order val="2"/>
          <c:tx>
            <c:strRef>
              <c:f>'Scenario 1'!$D$32</c:f>
              <c:strCache>
                <c:ptCount val="1"/>
                <c:pt idx="0">
                  <c:v>Cummulative Revenus residuel (apres EDF OA)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'Scenario 1'!$E$26:$H$26</c:f>
              <c:strCache>
                <c:ptCount val="4"/>
                <c:pt idx="0">
                  <c:v>Defaut</c:v>
                </c:pt>
                <c:pt idx="1">
                  <c:v>Reparation - 100%</c:v>
                </c:pt>
                <c:pt idx="2">
                  <c:v>Revamping - 100%</c:v>
                </c:pt>
                <c:pt idx="3">
                  <c:v>Repowering - 110%</c:v>
                </c:pt>
              </c:strCache>
            </c:strRef>
          </c:cat>
          <c:val>
            <c:numRef>
              <c:f>'Scenario 1'!$E$32:$H$32</c:f>
              <c:numCache>
                <c:formatCode>_-* #,##0\ [$€-40C]_-;\-* #,##0\ [$€-40C]_-;_-* "-"??\ [$€-40C]_-;_-@_-</c:formatCode>
                <c:ptCount val="4"/>
                <c:pt idx="0">
                  <c:v>991385.87366872001</c:v>
                </c:pt>
                <c:pt idx="1">
                  <c:v>1977726.2280041091</c:v>
                </c:pt>
                <c:pt idx="2">
                  <c:v>2058603.888688568</c:v>
                </c:pt>
                <c:pt idx="3">
                  <c:v>4484000.1374871656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4B-4CC9-A442-80147437B716}"/>
            </c:ext>
          </c:extLst>
        </c:ser>
        <c:ser>
          <c:idx val="3"/>
          <c:order val="3"/>
          <c:tx>
            <c:strRef>
              <c:f>'Scenario 1'!$D$33</c:f>
              <c:strCache>
                <c:ptCount val="1"/>
                <c:pt idx="0">
                  <c:v>Cummulative Cash Flow residuel TOTAL (avant + apres OA)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'Scenario 1'!$E$26:$H$26</c:f>
              <c:strCache>
                <c:ptCount val="4"/>
                <c:pt idx="0">
                  <c:v>Defaut</c:v>
                </c:pt>
                <c:pt idx="1">
                  <c:v>Reparation - 100%</c:v>
                </c:pt>
                <c:pt idx="2">
                  <c:v>Revamping - 100%</c:v>
                </c:pt>
                <c:pt idx="3">
                  <c:v>Repowering - 110%</c:v>
                </c:pt>
              </c:strCache>
            </c:strRef>
          </c:cat>
          <c:val>
            <c:numRef>
              <c:f>'Scenario 1'!$E$33:$H$33</c:f>
              <c:numCache>
                <c:formatCode>_-* #,##0\ [$€-40C]_-;\-* #,##0\ [$€-40C]_-;_-* "-"??\ [$€-40C]_-;_-@_-</c:formatCode>
                <c:ptCount val="4"/>
                <c:pt idx="0">
                  <c:v>9693430.2442612387</c:v>
                </c:pt>
                <c:pt idx="1">
                  <c:v>11838307.890707426</c:v>
                </c:pt>
                <c:pt idx="2">
                  <c:v>10369864.139581006</c:v>
                </c:pt>
                <c:pt idx="3">
                  <c:v>9177715.2710511647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4B-4CC9-A442-80147437B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398735"/>
        <c:axId val="1207392495"/>
      </c:barChart>
      <c:catAx>
        <c:axId val="120739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7392495"/>
        <c:crossesAt val="0"/>
        <c:auto val="1"/>
        <c:lblAlgn val="ctr"/>
        <c:lblOffset val="100"/>
        <c:noMultiLvlLbl val="0"/>
      </c:catAx>
      <c:valAx>
        <c:axId val="12073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40C]_-;\-* #,##0\ [$€-40C]_-;_-* &quot;-&quot;\ [$€-40C]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739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Comparaison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937120763130417"/>
          <c:y val="0.13080097899144305"/>
          <c:w val="0.87091553071995031"/>
          <c:h val="0.622221510560472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'Scenario 1'!$D$27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1'!$E$26:$H$26</c:f>
              <c:strCache>
                <c:ptCount val="4"/>
                <c:pt idx="0">
                  <c:v>Defaut</c:v>
                </c:pt>
                <c:pt idx="1">
                  <c:v>Reparation - 100%</c:v>
                </c:pt>
                <c:pt idx="2">
                  <c:v>Revamping - 100%</c:v>
                </c:pt>
                <c:pt idx="3">
                  <c:v>Repowering - 110%</c:v>
                </c:pt>
              </c:strCache>
            </c:strRef>
          </c:cat>
          <c:val>
            <c:numRef>
              <c:f>'Scenario 1'!$E$27:$H$27</c:f>
              <c:numCache>
                <c:formatCode>_-* #,##0\ [$€-40C]_-;\-* #,##0\ [$€-40C]_-;_-* "-"??\ [$€-40C]_-;_-@_-</c:formatCode>
                <c:ptCount val="4"/>
                <c:pt idx="0" formatCode="_-* #,##0.00\ [$€-40C]_-;\-* #,##0.00\ [$€-40C]_-;_-* &quot;-&quot;??\ [$€-40C]_-;_-@_-">
                  <c:v>0</c:v>
                </c:pt>
                <c:pt idx="1">
                  <c:v>1160000</c:v>
                </c:pt>
                <c:pt idx="2">
                  <c:v>3160000</c:v>
                </c:pt>
                <c:pt idx="3">
                  <c:v>7200000.0000000009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4-48A9-97F1-544A0A045545}"/>
            </c:ext>
          </c:extLst>
        </c:ser>
        <c:ser>
          <c:idx val="1"/>
          <c:order val="1"/>
          <c:tx>
            <c:strRef>
              <c:f>'Scenario 1'!$D$29</c:f>
              <c:strCache>
                <c:ptCount val="1"/>
                <c:pt idx="0">
                  <c:v>Cummulative Revenus residuel (EDF OA)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'Scenario 1'!$E$26:$H$26</c:f>
              <c:strCache>
                <c:ptCount val="4"/>
                <c:pt idx="0">
                  <c:v>Defaut</c:v>
                </c:pt>
                <c:pt idx="1">
                  <c:v>Reparation - 100%</c:v>
                </c:pt>
                <c:pt idx="2">
                  <c:v>Revamping - 100%</c:v>
                </c:pt>
                <c:pt idx="3">
                  <c:v>Repowering - 110%</c:v>
                </c:pt>
              </c:strCache>
            </c:strRef>
          </c:cat>
          <c:val>
            <c:numRef>
              <c:f>'Scenario 1'!$E$29:$H$29</c:f>
              <c:numCache>
                <c:formatCode>_-* #,##0\ [$€-40C]_-;\-* #,##0\ [$€-40C]_-;_-* "-"??\ [$€-40C]_-;_-@_-</c:formatCode>
                <c:ptCount val="4"/>
                <c:pt idx="0">
                  <c:v>8702044.3705925196</c:v>
                </c:pt>
                <c:pt idx="1">
                  <c:v>11020581.662703317</c:v>
                </c:pt>
                <c:pt idx="2">
                  <c:v>11471260.250892438</c:v>
                </c:pt>
                <c:pt idx="3">
                  <c:v>11893715.133564001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4-48A9-97F1-544A0A045545}"/>
            </c:ext>
          </c:extLst>
        </c:ser>
        <c:ser>
          <c:idx val="2"/>
          <c:order val="2"/>
          <c:tx>
            <c:strRef>
              <c:f>'Scenario 1'!$D$32</c:f>
              <c:strCache>
                <c:ptCount val="1"/>
                <c:pt idx="0">
                  <c:v>Cummulative Revenus residuel (apres EDF OA)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'Scenario 1'!$E$26:$H$26</c:f>
              <c:strCache>
                <c:ptCount val="4"/>
                <c:pt idx="0">
                  <c:v>Defaut</c:v>
                </c:pt>
                <c:pt idx="1">
                  <c:v>Reparation - 100%</c:v>
                </c:pt>
                <c:pt idx="2">
                  <c:v>Revamping - 100%</c:v>
                </c:pt>
                <c:pt idx="3">
                  <c:v>Repowering - 110%</c:v>
                </c:pt>
              </c:strCache>
            </c:strRef>
          </c:cat>
          <c:val>
            <c:numRef>
              <c:f>'Scenario 1'!$E$32:$H$32</c:f>
              <c:numCache>
                <c:formatCode>_-* #,##0\ [$€-40C]_-;\-* #,##0\ [$€-40C]_-;_-* "-"??\ [$€-40C]_-;_-@_-</c:formatCode>
                <c:ptCount val="4"/>
                <c:pt idx="0">
                  <c:v>991385.87366872001</c:v>
                </c:pt>
                <c:pt idx="1">
                  <c:v>1977726.2280041091</c:v>
                </c:pt>
                <c:pt idx="2">
                  <c:v>2058603.888688568</c:v>
                </c:pt>
                <c:pt idx="3">
                  <c:v>4484000.1374871656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A4-48A9-97F1-544A0A045545}"/>
            </c:ext>
          </c:extLst>
        </c:ser>
        <c:ser>
          <c:idx val="3"/>
          <c:order val="3"/>
          <c:tx>
            <c:strRef>
              <c:f>'Scenario 1'!$D$33</c:f>
              <c:strCache>
                <c:ptCount val="1"/>
                <c:pt idx="0">
                  <c:v>Cummulative Cash Flow residuel TOTAL (avant + apres OA)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'Scenario 1'!$E$26:$H$26</c:f>
              <c:strCache>
                <c:ptCount val="4"/>
                <c:pt idx="0">
                  <c:v>Defaut</c:v>
                </c:pt>
                <c:pt idx="1">
                  <c:v>Reparation - 100%</c:v>
                </c:pt>
                <c:pt idx="2">
                  <c:v>Revamping - 100%</c:v>
                </c:pt>
                <c:pt idx="3">
                  <c:v>Repowering - 110%</c:v>
                </c:pt>
              </c:strCache>
            </c:strRef>
          </c:cat>
          <c:val>
            <c:numRef>
              <c:f>'Scenario 1'!$E$33:$H$33</c:f>
              <c:numCache>
                <c:formatCode>_-* #,##0\ [$€-40C]_-;\-* #,##0\ [$€-40C]_-;_-* "-"??\ [$€-40C]_-;_-@_-</c:formatCode>
                <c:ptCount val="4"/>
                <c:pt idx="0">
                  <c:v>9693430.2442612387</c:v>
                </c:pt>
                <c:pt idx="1">
                  <c:v>11838307.890707426</c:v>
                </c:pt>
                <c:pt idx="2">
                  <c:v>10369864.139581006</c:v>
                </c:pt>
                <c:pt idx="3">
                  <c:v>9177715.2710511647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A4-48A9-97F1-544A0A045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398735"/>
        <c:axId val="1207392495"/>
      </c:barChart>
      <c:catAx>
        <c:axId val="120739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7392495"/>
        <c:crossesAt val="0"/>
        <c:auto val="1"/>
        <c:lblAlgn val="ctr"/>
        <c:lblOffset val="100"/>
        <c:noMultiLvlLbl val="0"/>
      </c:catAx>
      <c:valAx>
        <c:axId val="120739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[$€-40C]_-;\-* #,##0\ [$€-40C]_-;_-* &quot;-&quot;\ [$€-40C]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7398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22</xdr:row>
      <xdr:rowOff>123825</xdr:rowOff>
    </xdr:from>
    <xdr:to>
      <xdr:col>26</xdr:col>
      <xdr:colOff>371475</xdr:colOff>
      <xdr:row>42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F7E8C0-8A50-E5EA-DC20-5DA4754733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1295400</xdr:colOff>
      <xdr:row>51</xdr:row>
      <xdr:rowOff>0</xdr:rowOff>
    </xdr:from>
    <xdr:to>
      <xdr:col>10</xdr:col>
      <xdr:colOff>47625</xdr:colOff>
      <xdr:row>67</xdr:row>
      <xdr:rowOff>95250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46D7AD8-A782-BEAD-6D83-39A83E4A1CBF}"/>
            </a:ext>
          </a:extLst>
        </xdr:cNvPr>
        <xdr:cNvSpPr/>
      </xdr:nvSpPr>
      <xdr:spPr>
        <a:xfrm>
          <a:off x="4019550" y="10210800"/>
          <a:ext cx="10144125" cy="3143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1295400</xdr:colOff>
      <xdr:row>54</xdr:row>
      <xdr:rowOff>9525</xdr:rowOff>
    </xdr:from>
    <xdr:to>
      <xdr:col>5</xdr:col>
      <xdr:colOff>342900</xdr:colOff>
      <xdr:row>55</xdr:row>
      <xdr:rowOff>85725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8DD3C33-9455-DCB2-8EDC-E21658B9AA14}"/>
            </a:ext>
          </a:extLst>
        </xdr:cNvPr>
        <xdr:cNvCxnSpPr/>
      </xdr:nvCxnSpPr>
      <xdr:spPr>
        <a:xfrm>
          <a:off x="4019550" y="9296400"/>
          <a:ext cx="3743325" cy="26670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55</xdr:row>
      <xdr:rowOff>76200</xdr:rowOff>
    </xdr:from>
    <xdr:to>
      <xdr:col>7</xdr:col>
      <xdr:colOff>1152525</xdr:colOff>
      <xdr:row>63</xdr:row>
      <xdr:rowOff>85725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BE11FA9-C472-2D46-C918-5F22F78E1A20}"/>
            </a:ext>
          </a:extLst>
        </xdr:cNvPr>
        <xdr:cNvCxnSpPr/>
      </xdr:nvCxnSpPr>
      <xdr:spPr>
        <a:xfrm>
          <a:off x="7762875" y="9553575"/>
          <a:ext cx="3467100" cy="1533525"/>
        </a:xfrm>
        <a:prstGeom prst="line">
          <a:avLst/>
        </a:prstGeom>
        <a:ln w="38100">
          <a:solidFill>
            <a:sysClr val="windowText" lastClr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54</xdr:row>
      <xdr:rowOff>0</xdr:rowOff>
    </xdr:from>
    <xdr:to>
      <xdr:col>7</xdr:col>
      <xdr:colOff>1133475</xdr:colOff>
      <xdr:row>55</xdr:row>
      <xdr:rowOff>19050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FE4D4B1-5490-DF65-22AD-12AB2BE67554}"/>
            </a:ext>
          </a:extLst>
        </xdr:cNvPr>
        <xdr:cNvCxnSpPr/>
      </xdr:nvCxnSpPr>
      <xdr:spPr>
        <a:xfrm>
          <a:off x="8077200" y="10591800"/>
          <a:ext cx="3467100" cy="209550"/>
        </a:xfrm>
        <a:prstGeom prst="line">
          <a:avLst/>
        </a:prstGeom>
        <a:ln w="38100">
          <a:solidFill>
            <a:sysClr val="windowText" lastClr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51</xdr:row>
      <xdr:rowOff>114300</xdr:rowOff>
    </xdr:from>
    <xdr:to>
      <xdr:col>9</xdr:col>
      <xdr:colOff>1571625</xdr:colOff>
      <xdr:row>53</xdr:row>
      <xdr:rowOff>89650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E1E66D7-66C7-4E24-9E7B-86C6B82BDD8A}"/>
            </a:ext>
          </a:extLst>
        </xdr:cNvPr>
        <xdr:cNvCxnSpPr/>
      </xdr:nvCxnSpPr>
      <xdr:spPr>
        <a:xfrm>
          <a:off x="8115300" y="10325100"/>
          <a:ext cx="5895975" cy="356350"/>
        </a:xfrm>
        <a:prstGeom prst="line">
          <a:avLst/>
        </a:prstGeom>
        <a:ln w="38100">
          <a:solidFill>
            <a:sysClr val="windowText" lastClr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371475</xdr:colOff>
      <xdr:row>51</xdr:row>
      <xdr:rowOff>95250</xdr:rowOff>
    </xdr:from>
    <xdr:to>
      <xdr:col>5</xdr:col>
      <xdr:colOff>371475</xdr:colOff>
      <xdr:row>53</xdr:row>
      <xdr:rowOff>85725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D253CCE-1107-E6C3-BFEA-118E9E06D3C4}"/>
            </a:ext>
          </a:extLst>
        </xdr:cNvPr>
        <xdr:cNvCxnSpPr/>
      </xdr:nvCxnSpPr>
      <xdr:spPr>
        <a:xfrm flipV="1">
          <a:off x="8124825" y="10115550"/>
          <a:ext cx="0" cy="371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428625</xdr:colOff>
      <xdr:row>52</xdr:row>
      <xdr:rowOff>38100</xdr:rowOff>
    </xdr:from>
    <xdr:ext cx="8729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7247959-50E1-B79A-05E1-12AF5EC2E9B8}"/>
            </a:ext>
          </a:extLst>
        </xdr:cNvPr>
        <xdr:cNvSpPr txBox="1"/>
      </xdr:nvSpPr>
      <xdr:spPr>
        <a:xfrm>
          <a:off x="9686925" y="10439400"/>
          <a:ext cx="8729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Repowering</a:t>
          </a:r>
        </a:p>
      </xdr:txBody>
    </xdr:sp>
    <xdr:clientData/>
  </xdr:oneCellAnchor>
  <xdr:oneCellAnchor>
    <xdr:from>
      <xdr:col>6</xdr:col>
      <xdr:colOff>190500</xdr:colOff>
      <xdr:row>54</xdr:row>
      <xdr:rowOff>133350</xdr:rowOff>
    </xdr:from>
    <xdr:ext cx="1762470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F069100-FED0-8EAD-148B-6A34E5BE34D4}"/>
            </a:ext>
          </a:extLst>
        </xdr:cNvPr>
        <xdr:cNvSpPr txBox="1"/>
      </xdr:nvSpPr>
      <xdr:spPr>
        <a:xfrm>
          <a:off x="9448800" y="10725150"/>
          <a:ext cx="17624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Repairing and/or Revamping</a:t>
          </a:r>
        </a:p>
      </xdr:txBody>
    </xdr:sp>
    <xdr:clientData/>
  </xdr:oneCellAnchor>
  <xdr:oneCellAnchor>
    <xdr:from>
      <xdr:col>6</xdr:col>
      <xdr:colOff>314325</xdr:colOff>
      <xdr:row>58</xdr:row>
      <xdr:rowOff>0</xdr:rowOff>
    </xdr:from>
    <xdr:ext cx="1235018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1B3FCDB3-ED9D-6358-7C70-80FBEF810BA8}"/>
            </a:ext>
          </a:extLst>
        </xdr:cNvPr>
        <xdr:cNvSpPr txBox="1"/>
      </xdr:nvSpPr>
      <xdr:spPr>
        <a:xfrm>
          <a:off x="9239250" y="10048875"/>
          <a:ext cx="12350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Defaut: Do nothing</a:t>
          </a:r>
        </a:p>
      </xdr:txBody>
    </xdr:sp>
    <xdr:clientData/>
  </xdr:oneCellAnchor>
  <xdr:oneCellAnchor>
    <xdr:from>
      <xdr:col>3</xdr:col>
      <xdr:colOff>6230</xdr:colOff>
      <xdr:row>51</xdr:row>
      <xdr:rowOff>19050</xdr:rowOff>
    </xdr:from>
    <xdr:ext cx="1194686" cy="749821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6E9E846-7CB4-DF11-1AA9-E9656CF1B035}"/>
            </a:ext>
          </a:extLst>
        </xdr:cNvPr>
        <xdr:cNvSpPr txBox="1"/>
      </xdr:nvSpPr>
      <xdr:spPr>
        <a:xfrm>
          <a:off x="2730380" y="10039350"/>
          <a:ext cx="1194686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FR" sz="1400" b="1"/>
            <a:t>Puissance </a:t>
          </a:r>
        </a:p>
        <a:p>
          <a:pPr algn="ctr"/>
          <a:r>
            <a:rPr lang="fr-FR" sz="1400" b="1"/>
            <a:t>de</a:t>
          </a:r>
          <a:r>
            <a:rPr lang="fr-FR" sz="1400" b="1" baseline="0"/>
            <a:t> la centrale</a:t>
          </a:r>
        </a:p>
        <a:p>
          <a:pPr algn="ctr"/>
          <a:r>
            <a:rPr lang="fr-FR" sz="1400" b="1" baseline="0"/>
            <a:t>nominale</a:t>
          </a:r>
          <a:endParaRPr lang="fr-FR" sz="1400" b="1"/>
        </a:p>
      </xdr:txBody>
    </xdr:sp>
    <xdr:clientData/>
  </xdr:oneCellAnchor>
  <xdr:twoCellAnchor>
    <xdr:from>
      <xdr:col>3</xdr:col>
      <xdr:colOff>1314450</xdr:colOff>
      <xdr:row>63</xdr:row>
      <xdr:rowOff>180975</xdr:rowOff>
    </xdr:from>
    <xdr:to>
      <xdr:col>6</xdr:col>
      <xdr:colOff>485775</xdr:colOff>
      <xdr:row>64</xdr:row>
      <xdr:rowOff>19050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E215E66-99B2-CD0B-64AB-F530D277DC97}"/>
            </a:ext>
          </a:extLst>
        </xdr:cNvPr>
        <xdr:cNvCxnSpPr/>
      </xdr:nvCxnSpPr>
      <xdr:spPr>
        <a:xfrm>
          <a:off x="4038600" y="11182350"/>
          <a:ext cx="5372100" cy="28575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64</xdr:row>
      <xdr:rowOff>19050</xdr:rowOff>
    </xdr:from>
    <xdr:to>
      <xdr:col>7</xdr:col>
      <xdr:colOff>1152525</xdr:colOff>
      <xdr:row>64</xdr:row>
      <xdr:rowOff>19050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CC6E56A8-182A-45D0-7F9B-DC38BCB9DF70}"/>
            </a:ext>
          </a:extLst>
        </xdr:cNvPr>
        <xdr:cNvCxnSpPr/>
      </xdr:nvCxnSpPr>
      <xdr:spPr>
        <a:xfrm>
          <a:off x="9505950" y="11210925"/>
          <a:ext cx="1724025" cy="0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1295400</xdr:colOff>
      <xdr:row>67</xdr:row>
      <xdr:rowOff>152400</xdr:rowOff>
    </xdr:from>
    <xdr:to>
      <xdr:col>5</xdr:col>
      <xdr:colOff>409575</xdr:colOff>
      <xdr:row>69</xdr:row>
      <xdr:rowOff>28575</xdr:rowOff>
    </xdr:to>
    <xdr:sp macro="" textlink="">
      <xdr:nvSpPr>
        <xdr:cNvPr id="41" name="Arrow: Right 40">
          <a:extLst>
            <a:ext uri="{FF2B5EF4-FFF2-40B4-BE49-F238E27FC236}">
              <a16:creationId xmlns:a16="http://schemas.microsoft.com/office/drawing/2014/main" id="{51C4648C-6C9A-D831-5360-AA7F2BBF4B13}"/>
            </a:ext>
          </a:extLst>
        </xdr:cNvPr>
        <xdr:cNvSpPr/>
      </xdr:nvSpPr>
      <xdr:spPr>
        <a:xfrm>
          <a:off x="4019550" y="11915775"/>
          <a:ext cx="3810000" cy="257175"/>
        </a:xfrm>
        <a:prstGeom prst="rightArrow">
          <a:avLst/>
        </a:prstGeom>
        <a:solidFill>
          <a:schemeClr val="accent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552450</xdr:colOff>
      <xdr:row>67</xdr:row>
      <xdr:rowOff>152400</xdr:rowOff>
    </xdr:from>
    <xdr:to>
      <xdr:col>7</xdr:col>
      <xdr:colOff>1171575</xdr:colOff>
      <xdr:row>69</xdr:row>
      <xdr:rowOff>28575</xdr:rowOff>
    </xdr:to>
    <xdr:sp macro="" textlink="">
      <xdr:nvSpPr>
        <xdr:cNvPr id="42" name="Arrow: Right 41">
          <a:extLst>
            <a:ext uri="{FF2B5EF4-FFF2-40B4-BE49-F238E27FC236}">
              <a16:creationId xmlns:a16="http://schemas.microsoft.com/office/drawing/2014/main" id="{58E7DED5-B6EA-45E0-A98B-F4EA8857A223}"/>
            </a:ext>
          </a:extLst>
        </xdr:cNvPr>
        <xdr:cNvSpPr/>
      </xdr:nvSpPr>
      <xdr:spPr>
        <a:xfrm>
          <a:off x="7972425" y="11915775"/>
          <a:ext cx="3276600" cy="257175"/>
        </a:xfrm>
        <a:prstGeom prst="rightArrow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285750</xdr:colOff>
      <xdr:row>50</xdr:row>
      <xdr:rowOff>104775</xdr:rowOff>
    </xdr:from>
    <xdr:to>
      <xdr:col>7</xdr:col>
      <xdr:colOff>1209675</xdr:colOff>
      <xdr:row>73</xdr:row>
      <xdr:rowOff>66675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2CC6E80-FBF1-66BD-E2D6-C8F588AE10A2}"/>
            </a:ext>
          </a:extLst>
        </xdr:cNvPr>
        <xdr:cNvSpPr/>
      </xdr:nvSpPr>
      <xdr:spPr>
        <a:xfrm>
          <a:off x="7705725" y="8629650"/>
          <a:ext cx="3581400" cy="434340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5</xdr:col>
      <xdr:colOff>952500</xdr:colOff>
      <xdr:row>73</xdr:row>
      <xdr:rowOff>133350</xdr:rowOff>
    </xdr:from>
    <xdr:ext cx="2518575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7F1B501-143D-E29E-DF46-1C987D851FC1}"/>
            </a:ext>
          </a:extLst>
        </xdr:cNvPr>
        <xdr:cNvSpPr txBox="1"/>
      </xdr:nvSpPr>
      <xdr:spPr>
        <a:xfrm>
          <a:off x="8372475" y="13039725"/>
          <a:ext cx="2518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/>
            <a:t>Modelisation Impact Projet - 4 scenarios</a:t>
          </a:r>
        </a:p>
      </xdr:txBody>
    </xdr:sp>
    <xdr:clientData/>
  </xdr:oneCellAnchor>
  <xdr:twoCellAnchor>
    <xdr:from>
      <xdr:col>5</xdr:col>
      <xdr:colOff>323850</xdr:colOff>
      <xdr:row>55</xdr:row>
      <xdr:rowOff>85725</xdr:rowOff>
    </xdr:from>
    <xdr:to>
      <xdr:col>7</xdr:col>
      <xdr:colOff>1133475</xdr:colOff>
      <xdr:row>56</xdr:row>
      <xdr:rowOff>104775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F70A291-2B14-4968-BFCD-41E7BA8E94CF}"/>
            </a:ext>
          </a:extLst>
        </xdr:cNvPr>
        <xdr:cNvCxnSpPr/>
      </xdr:nvCxnSpPr>
      <xdr:spPr>
        <a:xfrm>
          <a:off x="7743825" y="9563100"/>
          <a:ext cx="3467100" cy="209550"/>
        </a:xfrm>
        <a:prstGeom prst="line">
          <a:avLst/>
        </a:prstGeom>
        <a:ln w="38100">
          <a:solidFill>
            <a:sysClr val="windowText" lastClr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25</xdr:row>
      <xdr:rowOff>1</xdr:rowOff>
    </xdr:from>
    <xdr:to>
      <xdr:col>7</xdr:col>
      <xdr:colOff>19050</xdr:colOff>
      <xdr:row>35</xdr:row>
      <xdr:rowOff>200025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994F2C-AA10-CAFF-E57D-59D04BA8382D}"/>
            </a:ext>
          </a:extLst>
        </xdr:cNvPr>
        <xdr:cNvSpPr/>
      </xdr:nvSpPr>
      <xdr:spPr>
        <a:xfrm>
          <a:off x="7429500" y="5172076"/>
          <a:ext cx="2667000" cy="21240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1314450</xdr:colOff>
      <xdr:row>53</xdr:row>
      <xdr:rowOff>161925</xdr:rowOff>
    </xdr:from>
    <xdr:to>
      <xdr:col>7</xdr:col>
      <xdr:colOff>1152525</xdr:colOff>
      <xdr:row>53</xdr:row>
      <xdr:rowOff>161925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F7D37BA-844A-C081-B2C0-D9BDA377386C}"/>
            </a:ext>
          </a:extLst>
        </xdr:cNvPr>
        <xdr:cNvCxnSpPr/>
      </xdr:nvCxnSpPr>
      <xdr:spPr>
        <a:xfrm>
          <a:off x="4038600" y="10563225"/>
          <a:ext cx="7524750" cy="0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64</xdr:row>
      <xdr:rowOff>19050</xdr:rowOff>
    </xdr:from>
    <xdr:to>
      <xdr:col>10</xdr:col>
      <xdr:colOff>47625</xdr:colOff>
      <xdr:row>64</xdr:row>
      <xdr:rowOff>19050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AC070C8-22EB-4E0A-8BB3-1ED6A95EDD9D}"/>
            </a:ext>
          </a:extLst>
        </xdr:cNvPr>
        <xdr:cNvCxnSpPr/>
      </xdr:nvCxnSpPr>
      <xdr:spPr>
        <a:xfrm>
          <a:off x="11658600" y="12706350"/>
          <a:ext cx="2505075" cy="0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</xdr:colOff>
      <xdr:row>67</xdr:row>
      <xdr:rowOff>152400</xdr:rowOff>
    </xdr:from>
    <xdr:to>
      <xdr:col>10</xdr:col>
      <xdr:colOff>28575</xdr:colOff>
      <xdr:row>69</xdr:row>
      <xdr:rowOff>28575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01DECC39-16BB-484B-9A91-90E249349889}"/>
            </a:ext>
          </a:extLst>
        </xdr:cNvPr>
        <xdr:cNvSpPr/>
      </xdr:nvSpPr>
      <xdr:spPr>
        <a:xfrm>
          <a:off x="11744325" y="13411200"/>
          <a:ext cx="2400300" cy="257175"/>
        </a:xfrm>
        <a:prstGeom prst="rightArrow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962025</xdr:colOff>
      <xdr:row>54</xdr:row>
      <xdr:rowOff>38100</xdr:rowOff>
    </xdr:from>
    <xdr:to>
      <xdr:col>8</xdr:col>
      <xdr:colOff>209550</xdr:colOff>
      <xdr:row>56</xdr:row>
      <xdr:rowOff>180975</xdr:rowOff>
    </xdr:to>
    <xdr:sp macro="" textlink="">
      <xdr:nvSpPr>
        <xdr:cNvPr id="16" name="Star: 5 Points 15">
          <a:extLst>
            <a:ext uri="{FF2B5EF4-FFF2-40B4-BE49-F238E27FC236}">
              <a16:creationId xmlns:a16="http://schemas.microsoft.com/office/drawing/2014/main" id="{45FE7DC6-B97E-F305-D914-8640E2ED0794}"/>
            </a:ext>
          </a:extLst>
        </xdr:cNvPr>
        <xdr:cNvSpPr/>
      </xdr:nvSpPr>
      <xdr:spPr>
        <a:xfrm>
          <a:off x="11372850" y="10820400"/>
          <a:ext cx="476250" cy="52387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28575</xdr:colOff>
      <xdr:row>50</xdr:row>
      <xdr:rowOff>114300</xdr:rowOff>
    </xdr:from>
    <xdr:to>
      <xdr:col>10</xdr:col>
      <xdr:colOff>95250</xdr:colOff>
      <xdr:row>73</xdr:row>
      <xdr:rowOff>76200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1ACBBA5-8102-4856-A64D-45723BB6C0C4}"/>
            </a:ext>
          </a:extLst>
        </xdr:cNvPr>
        <xdr:cNvSpPr/>
      </xdr:nvSpPr>
      <xdr:spPr>
        <a:xfrm>
          <a:off x="11668125" y="10134600"/>
          <a:ext cx="2543175" cy="434340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9525</xdr:colOff>
      <xdr:row>73</xdr:row>
      <xdr:rowOff>142875</xdr:rowOff>
    </xdr:from>
    <xdr:ext cx="1992725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F9E5386A-7C28-4930-BF58-45F6B10D7E31}"/>
            </a:ext>
          </a:extLst>
        </xdr:cNvPr>
        <xdr:cNvSpPr txBox="1"/>
      </xdr:nvSpPr>
      <xdr:spPr>
        <a:xfrm>
          <a:off x="11649075" y="14544675"/>
          <a:ext cx="1992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/>
            <a:t>Extended</a:t>
          </a:r>
          <a:r>
            <a:rPr lang="fr-FR" sz="1100" b="1" baseline="0"/>
            <a:t> lifetime - Repowering</a:t>
          </a:r>
          <a:endParaRPr lang="fr-FR" sz="1100" b="1"/>
        </a:p>
      </xdr:txBody>
    </xdr:sp>
    <xdr:clientData/>
  </xdr:oneCellAnchor>
  <xdr:twoCellAnchor>
    <xdr:from>
      <xdr:col>7</xdr:col>
      <xdr:colOff>1057275</xdr:colOff>
      <xdr:row>49</xdr:row>
      <xdr:rowOff>114300</xdr:rowOff>
    </xdr:from>
    <xdr:to>
      <xdr:col>8</xdr:col>
      <xdr:colOff>123825</xdr:colOff>
      <xdr:row>53</xdr:row>
      <xdr:rowOff>180975</xdr:rowOff>
    </xdr:to>
    <xdr:sp macro="" textlink="">
      <xdr:nvSpPr>
        <xdr:cNvPr id="21" name="Arrow: Up 20">
          <a:extLst>
            <a:ext uri="{FF2B5EF4-FFF2-40B4-BE49-F238E27FC236}">
              <a16:creationId xmlns:a16="http://schemas.microsoft.com/office/drawing/2014/main" id="{74E9C815-02A6-B292-FD4F-2F0C193DFCBE}"/>
            </a:ext>
          </a:extLst>
        </xdr:cNvPr>
        <xdr:cNvSpPr/>
      </xdr:nvSpPr>
      <xdr:spPr>
        <a:xfrm>
          <a:off x="11468100" y="9944100"/>
          <a:ext cx="295275" cy="828675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228600</xdr:colOff>
      <xdr:row>51</xdr:row>
      <xdr:rowOff>95250</xdr:rowOff>
    </xdr:from>
    <xdr:to>
      <xdr:col>5</xdr:col>
      <xdr:colOff>523875</xdr:colOff>
      <xdr:row>53</xdr:row>
      <xdr:rowOff>142875</xdr:rowOff>
    </xdr:to>
    <xdr:sp macro="" textlink="">
      <xdr:nvSpPr>
        <xdr:cNvPr id="22" name="Arrow: Up 21">
          <a:extLst>
            <a:ext uri="{FF2B5EF4-FFF2-40B4-BE49-F238E27FC236}">
              <a16:creationId xmlns:a16="http://schemas.microsoft.com/office/drawing/2014/main" id="{090AF77A-5D47-4D78-A236-C5C5EA259BFB}"/>
            </a:ext>
          </a:extLst>
        </xdr:cNvPr>
        <xdr:cNvSpPr/>
      </xdr:nvSpPr>
      <xdr:spPr>
        <a:xfrm>
          <a:off x="7981950" y="10306050"/>
          <a:ext cx="295275" cy="428625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790575</xdr:colOff>
      <xdr:row>25</xdr:row>
      <xdr:rowOff>9525</xdr:rowOff>
    </xdr:from>
    <xdr:to>
      <xdr:col>10</xdr:col>
      <xdr:colOff>19050</xdr:colOff>
      <xdr:row>35</xdr:row>
      <xdr:rowOff>209549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3DE77AED-1ACB-4153-939A-1AA9D889638F}"/>
            </a:ext>
          </a:extLst>
        </xdr:cNvPr>
        <xdr:cNvSpPr/>
      </xdr:nvSpPr>
      <xdr:spPr>
        <a:xfrm>
          <a:off x="12430125" y="5181600"/>
          <a:ext cx="1704975" cy="23336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22</xdr:row>
      <xdr:rowOff>123825</xdr:rowOff>
    </xdr:from>
    <xdr:to>
      <xdr:col>26</xdr:col>
      <xdr:colOff>371475</xdr:colOff>
      <xdr:row>42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3BD64-3D03-49D8-AD6B-A2ECC438BD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1295400</xdr:colOff>
      <xdr:row>51</xdr:row>
      <xdr:rowOff>0</xdr:rowOff>
    </xdr:from>
    <xdr:to>
      <xdr:col>10</xdr:col>
      <xdr:colOff>47625</xdr:colOff>
      <xdr:row>67</xdr:row>
      <xdr:rowOff>95250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23B9B07-DDFF-4466-957E-F28AB627AE92}"/>
            </a:ext>
          </a:extLst>
        </xdr:cNvPr>
        <xdr:cNvSpPr/>
      </xdr:nvSpPr>
      <xdr:spPr>
        <a:xfrm>
          <a:off x="4019550" y="10420350"/>
          <a:ext cx="10144125" cy="31432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1295400</xdr:colOff>
      <xdr:row>54</xdr:row>
      <xdr:rowOff>9525</xdr:rowOff>
    </xdr:from>
    <xdr:to>
      <xdr:col>5</xdr:col>
      <xdr:colOff>342900</xdr:colOff>
      <xdr:row>55</xdr:row>
      <xdr:rowOff>85725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F57BDF3-BCAD-4921-8B6A-D038741CE2F0}"/>
            </a:ext>
          </a:extLst>
        </xdr:cNvPr>
        <xdr:cNvCxnSpPr/>
      </xdr:nvCxnSpPr>
      <xdr:spPr>
        <a:xfrm>
          <a:off x="4019550" y="11001375"/>
          <a:ext cx="4076700" cy="266700"/>
        </a:xfrm>
        <a:prstGeom prst="line">
          <a:avLst/>
        </a:prstGeom>
        <a:ln w="3810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55</xdr:row>
      <xdr:rowOff>76200</xdr:rowOff>
    </xdr:from>
    <xdr:to>
      <xdr:col>7</xdr:col>
      <xdr:colOff>1152525</xdr:colOff>
      <xdr:row>63</xdr:row>
      <xdr:rowOff>85725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22B141B-263C-4328-A51F-7B5368A541A7}"/>
            </a:ext>
          </a:extLst>
        </xdr:cNvPr>
        <xdr:cNvCxnSpPr/>
      </xdr:nvCxnSpPr>
      <xdr:spPr>
        <a:xfrm>
          <a:off x="8096250" y="11258550"/>
          <a:ext cx="3467100" cy="1533525"/>
        </a:xfrm>
        <a:prstGeom prst="line">
          <a:avLst/>
        </a:prstGeom>
        <a:ln w="38100">
          <a:solidFill>
            <a:sysClr val="windowText" lastClr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54</xdr:row>
      <xdr:rowOff>0</xdr:rowOff>
    </xdr:from>
    <xdr:to>
      <xdr:col>7</xdr:col>
      <xdr:colOff>1133475</xdr:colOff>
      <xdr:row>55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58A8C55-D649-425A-8BE5-5A62443266E6}"/>
            </a:ext>
          </a:extLst>
        </xdr:cNvPr>
        <xdr:cNvCxnSpPr/>
      </xdr:nvCxnSpPr>
      <xdr:spPr>
        <a:xfrm>
          <a:off x="8077200" y="10991850"/>
          <a:ext cx="3467100" cy="209550"/>
        </a:xfrm>
        <a:prstGeom prst="line">
          <a:avLst/>
        </a:prstGeom>
        <a:ln w="38100">
          <a:solidFill>
            <a:sysClr val="windowText" lastClr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51</xdr:row>
      <xdr:rowOff>114300</xdr:rowOff>
    </xdr:from>
    <xdr:to>
      <xdr:col>9</xdr:col>
      <xdr:colOff>1571625</xdr:colOff>
      <xdr:row>53</xdr:row>
      <xdr:rowOff>89650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F645325-310D-4CF7-9ADE-054496B2B891}"/>
            </a:ext>
          </a:extLst>
        </xdr:cNvPr>
        <xdr:cNvCxnSpPr/>
      </xdr:nvCxnSpPr>
      <xdr:spPr>
        <a:xfrm>
          <a:off x="8115300" y="10534650"/>
          <a:ext cx="5895975" cy="356350"/>
        </a:xfrm>
        <a:prstGeom prst="line">
          <a:avLst/>
        </a:prstGeom>
        <a:ln w="38100">
          <a:solidFill>
            <a:sysClr val="windowText" lastClr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371475</xdr:colOff>
      <xdr:row>51</xdr:row>
      <xdr:rowOff>95250</xdr:rowOff>
    </xdr:from>
    <xdr:to>
      <xdr:col>5</xdr:col>
      <xdr:colOff>371475</xdr:colOff>
      <xdr:row>53</xdr:row>
      <xdr:rowOff>85725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91043B5-BB7B-4D4C-89FA-10767A2D9169}"/>
            </a:ext>
          </a:extLst>
        </xdr:cNvPr>
        <xdr:cNvCxnSpPr/>
      </xdr:nvCxnSpPr>
      <xdr:spPr>
        <a:xfrm flipV="1">
          <a:off x="8124825" y="10515600"/>
          <a:ext cx="0" cy="371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428625</xdr:colOff>
      <xdr:row>52</xdr:row>
      <xdr:rowOff>38100</xdr:rowOff>
    </xdr:from>
    <xdr:ext cx="8729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3730C6D-75B9-45AF-B936-F721E53A312C}"/>
            </a:ext>
          </a:extLst>
        </xdr:cNvPr>
        <xdr:cNvSpPr txBox="1"/>
      </xdr:nvSpPr>
      <xdr:spPr>
        <a:xfrm>
          <a:off x="9686925" y="10648950"/>
          <a:ext cx="8729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Repowering</a:t>
          </a:r>
        </a:p>
      </xdr:txBody>
    </xdr:sp>
    <xdr:clientData/>
  </xdr:oneCellAnchor>
  <xdr:oneCellAnchor>
    <xdr:from>
      <xdr:col>6</xdr:col>
      <xdr:colOff>190500</xdr:colOff>
      <xdr:row>54</xdr:row>
      <xdr:rowOff>133350</xdr:rowOff>
    </xdr:from>
    <xdr:ext cx="176247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8E8142-8E62-4CE3-945E-05F56559FF54}"/>
            </a:ext>
          </a:extLst>
        </xdr:cNvPr>
        <xdr:cNvSpPr txBox="1"/>
      </xdr:nvSpPr>
      <xdr:spPr>
        <a:xfrm>
          <a:off x="9448800" y="11125200"/>
          <a:ext cx="176247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Repairing and/or Revamping</a:t>
          </a:r>
        </a:p>
      </xdr:txBody>
    </xdr:sp>
    <xdr:clientData/>
  </xdr:oneCellAnchor>
  <xdr:oneCellAnchor>
    <xdr:from>
      <xdr:col>6</xdr:col>
      <xdr:colOff>314325</xdr:colOff>
      <xdr:row>58</xdr:row>
      <xdr:rowOff>0</xdr:rowOff>
    </xdr:from>
    <xdr:ext cx="123501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0A1BE33-8251-4B30-B822-8F1BC30389D6}"/>
            </a:ext>
          </a:extLst>
        </xdr:cNvPr>
        <xdr:cNvSpPr txBox="1"/>
      </xdr:nvSpPr>
      <xdr:spPr>
        <a:xfrm>
          <a:off x="9572625" y="11753850"/>
          <a:ext cx="123501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Defaut: Do nothing</a:t>
          </a:r>
        </a:p>
      </xdr:txBody>
    </xdr:sp>
    <xdr:clientData/>
  </xdr:oneCellAnchor>
  <xdr:oneCellAnchor>
    <xdr:from>
      <xdr:col>3</xdr:col>
      <xdr:colOff>6230</xdr:colOff>
      <xdr:row>51</xdr:row>
      <xdr:rowOff>19050</xdr:rowOff>
    </xdr:from>
    <xdr:ext cx="1194686" cy="74982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EF57619-CDE1-419F-B57F-CE524A168D9B}"/>
            </a:ext>
          </a:extLst>
        </xdr:cNvPr>
        <xdr:cNvSpPr txBox="1"/>
      </xdr:nvSpPr>
      <xdr:spPr>
        <a:xfrm>
          <a:off x="2730380" y="10439400"/>
          <a:ext cx="1194686" cy="74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fr-FR" sz="1400" b="1"/>
            <a:t>Puissance </a:t>
          </a:r>
        </a:p>
        <a:p>
          <a:pPr algn="ctr"/>
          <a:r>
            <a:rPr lang="fr-FR" sz="1400" b="1"/>
            <a:t>de</a:t>
          </a:r>
          <a:r>
            <a:rPr lang="fr-FR" sz="1400" b="1" baseline="0"/>
            <a:t> la centrale</a:t>
          </a:r>
        </a:p>
        <a:p>
          <a:pPr algn="ctr"/>
          <a:r>
            <a:rPr lang="fr-FR" sz="1400" b="1" baseline="0"/>
            <a:t>nominale</a:t>
          </a:r>
          <a:endParaRPr lang="fr-FR" sz="1400" b="1"/>
        </a:p>
      </xdr:txBody>
    </xdr:sp>
    <xdr:clientData/>
  </xdr:oneCellAnchor>
  <xdr:twoCellAnchor>
    <xdr:from>
      <xdr:col>3</xdr:col>
      <xdr:colOff>1314450</xdr:colOff>
      <xdr:row>63</xdr:row>
      <xdr:rowOff>180975</xdr:rowOff>
    </xdr:from>
    <xdr:to>
      <xdr:col>6</xdr:col>
      <xdr:colOff>485775</xdr:colOff>
      <xdr:row>64</xdr:row>
      <xdr:rowOff>19050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1A290BD7-D492-4AEF-8826-A0BA51BBBC60}"/>
            </a:ext>
          </a:extLst>
        </xdr:cNvPr>
        <xdr:cNvCxnSpPr/>
      </xdr:nvCxnSpPr>
      <xdr:spPr>
        <a:xfrm>
          <a:off x="4038600" y="12887325"/>
          <a:ext cx="5705475" cy="28575"/>
        </a:xfrm>
        <a:prstGeom prst="straightConnector1">
          <a:avLst/>
        </a:prstGeom>
        <a:ln w="76200"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581025</xdr:colOff>
      <xdr:row>64</xdr:row>
      <xdr:rowOff>19050</xdr:rowOff>
    </xdr:from>
    <xdr:to>
      <xdr:col>7</xdr:col>
      <xdr:colOff>1152525</xdr:colOff>
      <xdr:row>64</xdr:row>
      <xdr:rowOff>19050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8EDBB12-1207-4E66-8D0E-6838C27D167F}"/>
            </a:ext>
          </a:extLst>
        </xdr:cNvPr>
        <xdr:cNvCxnSpPr/>
      </xdr:nvCxnSpPr>
      <xdr:spPr>
        <a:xfrm>
          <a:off x="9839325" y="12915900"/>
          <a:ext cx="1724025" cy="0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1295400</xdr:colOff>
      <xdr:row>67</xdr:row>
      <xdr:rowOff>152400</xdr:rowOff>
    </xdr:from>
    <xdr:to>
      <xdr:col>5</xdr:col>
      <xdr:colOff>409575</xdr:colOff>
      <xdr:row>69</xdr:row>
      <xdr:rowOff>28575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237E5BAB-55F2-4719-AB5F-0645B230D3D4}"/>
            </a:ext>
          </a:extLst>
        </xdr:cNvPr>
        <xdr:cNvSpPr/>
      </xdr:nvSpPr>
      <xdr:spPr>
        <a:xfrm>
          <a:off x="4019550" y="13620750"/>
          <a:ext cx="4143375" cy="257175"/>
        </a:xfrm>
        <a:prstGeom prst="rightArrow">
          <a:avLst/>
        </a:prstGeom>
        <a:solidFill>
          <a:schemeClr val="accent6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552450</xdr:colOff>
      <xdr:row>67</xdr:row>
      <xdr:rowOff>152400</xdr:rowOff>
    </xdr:from>
    <xdr:to>
      <xdr:col>7</xdr:col>
      <xdr:colOff>1171575</xdr:colOff>
      <xdr:row>69</xdr:row>
      <xdr:rowOff>28575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33EDCA49-2782-4DE0-9532-8F3FAD889E42}"/>
            </a:ext>
          </a:extLst>
        </xdr:cNvPr>
        <xdr:cNvSpPr/>
      </xdr:nvSpPr>
      <xdr:spPr>
        <a:xfrm>
          <a:off x="8305800" y="13620750"/>
          <a:ext cx="3276600" cy="257175"/>
        </a:xfrm>
        <a:prstGeom prst="rightArrow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285750</xdr:colOff>
      <xdr:row>50</xdr:row>
      <xdr:rowOff>104775</xdr:rowOff>
    </xdr:from>
    <xdr:to>
      <xdr:col>7</xdr:col>
      <xdr:colOff>1209675</xdr:colOff>
      <xdr:row>73</xdr:row>
      <xdr:rowOff>66675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7DA7169-EBB7-490E-B5CA-28F545B4230D}"/>
            </a:ext>
          </a:extLst>
        </xdr:cNvPr>
        <xdr:cNvSpPr/>
      </xdr:nvSpPr>
      <xdr:spPr>
        <a:xfrm>
          <a:off x="8039100" y="10334625"/>
          <a:ext cx="3581400" cy="434340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5</xdr:col>
      <xdr:colOff>952500</xdr:colOff>
      <xdr:row>73</xdr:row>
      <xdr:rowOff>133350</xdr:rowOff>
    </xdr:from>
    <xdr:ext cx="2518575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1EC3C2E-F77B-497A-BDC3-123AC27E594F}"/>
            </a:ext>
          </a:extLst>
        </xdr:cNvPr>
        <xdr:cNvSpPr txBox="1"/>
      </xdr:nvSpPr>
      <xdr:spPr>
        <a:xfrm>
          <a:off x="8705850" y="14744700"/>
          <a:ext cx="25185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/>
            <a:t>Modelisation Impact Projet - 4 scenarios</a:t>
          </a:r>
        </a:p>
      </xdr:txBody>
    </xdr:sp>
    <xdr:clientData/>
  </xdr:oneCellAnchor>
  <xdr:twoCellAnchor>
    <xdr:from>
      <xdr:col>5</xdr:col>
      <xdr:colOff>323850</xdr:colOff>
      <xdr:row>55</xdr:row>
      <xdr:rowOff>85725</xdr:rowOff>
    </xdr:from>
    <xdr:to>
      <xdr:col>7</xdr:col>
      <xdr:colOff>1133475</xdr:colOff>
      <xdr:row>56</xdr:row>
      <xdr:rowOff>104775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0C2A427-31DE-4C0E-A751-FA187B480831}"/>
            </a:ext>
          </a:extLst>
        </xdr:cNvPr>
        <xdr:cNvCxnSpPr/>
      </xdr:nvCxnSpPr>
      <xdr:spPr>
        <a:xfrm>
          <a:off x="8077200" y="11268075"/>
          <a:ext cx="3467100" cy="209550"/>
        </a:xfrm>
        <a:prstGeom prst="line">
          <a:avLst/>
        </a:prstGeom>
        <a:ln w="38100">
          <a:solidFill>
            <a:sysClr val="windowText" lastClr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25</xdr:row>
      <xdr:rowOff>1</xdr:rowOff>
    </xdr:from>
    <xdr:to>
      <xdr:col>7</xdr:col>
      <xdr:colOff>19050</xdr:colOff>
      <xdr:row>35</xdr:row>
      <xdr:rowOff>200025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BB849AA-E8CF-4E72-A519-05B3F3CE1F5A}"/>
            </a:ext>
          </a:extLst>
        </xdr:cNvPr>
        <xdr:cNvSpPr/>
      </xdr:nvSpPr>
      <xdr:spPr>
        <a:xfrm>
          <a:off x="7762875" y="5172076"/>
          <a:ext cx="2667000" cy="23336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1314450</xdr:colOff>
      <xdr:row>53</xdr:row>
      <xdr:rowOff>161925</xdr:rowOff>
    </xdr:from>
    <xdr:to>
      <xdr:col>7</xdr:col>
      <xdr:colOff>1152525</xdr:colOff>
      <xdr:row>53</xdr:row>
      <xdr:rowOff>161925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8CC0EA5-ECD9-4F9D-BD52-08A7564CAA48}"/>
            </a:ext>
          </a:extLst>
        </xdr:cNvPr>
        <xdr:cNvCxnSpPr/>
      </xdr:nvCxnSpPr>
      <xdr:spPr>
        <a:xfrm>
          <a:off x="4038600" y="10963275"/>
          <a:ext cx="7524750" cy="0"/>
        </a:xfrm>
        <a:prstGeom prst="line">
          <a:avLst/>
        </a:prstGeom>
        <a:ln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64</xdr:row>
      <xdr:rowOff>19050</xdr:rowOff>
    </xdr:from>
    <xdr:to>
      <xdr:col>10</xdr:col>
      <xdr:colOff>47625</xdr:colOff>
      <xdr:row>64</xdr:row>
      <xdr:rowOff>19050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5A8E3D50-B853-47A2-ABBC-06BB806FC9B2}"/>
            </a:ext>
          </a:extLst>
        </xdr:cNvPr>
        <xdr:cNvCxnSpPr/>
      </xdr:nvCxnSpPr>
      <xdr:spPr>
        <a:xfrm>
          <a:off x="11658600" y="12915900"/>
          <a:ext cx="2505075" cy="0"/>
        </a:xfrm>
        <a:prstGeom prst="straightConnector1">
          <a:avLst/>
        </a:prstGeom>
        <a:ln w="76200">
          <a:solidFill>
            <a:srgbClr val="FFC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</xdr:colOff>
      <xdr:row>67</xdr:row>
      <xdr:rowOff>152400</xdr:rowOff>
    </xdr:from>
    <xdr:to>
      <xdr:col>10</xdr:col>
      <xdr:colOff>28575</xdr:colOff>
      <xdr:row>69</xdr:row>
      <xdr:rowOff>28575</xdr:rowOff>
    </xdr:to>
    <xdr:sp macro="" textlink="">
      <xdr:nvSpPr>
        <xdr:cNvPr id="23" name="Arrow: Right 22">
          <a:extLst>
            <a:ext uri="{FF2B5EF4-FFF2-40B4-BE49-F238E27FC236}">
              <a16:creationId xmlns:a16="http://schemas.microsoft.com/office/drawing/2014/main" id="{94CEA27F-15D9-466F-901A-3351DA02F823}"/>
            </a:ext>
          </a:extLst>
        </xdr:cNvPr>
        <xdr:cNvSpPr/>
      </xdr:nvSpPr>
      <xdr:spPr>
        <a:xfrm>
          <a:off x="11744325" y="13620750"/>
          <a:ext cx="2400300" cy="257175"/>
        </a:xfrm>
        <a:prstGeom prst="rightArrow">
          <a:avLst/>
        </a:prstGeom>
        <a:solidFill>
          <a:srgbClr val="FFC0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962025</xdr:colOff>
      <xdr:row>54</xdr:row>
      <xdr:rowOff>38100</xdr:rowOff>
    </xdr:from>
    <xdr:to>
      <xdr:col>8</xdr:col>
      <xdr:colOff>209550</xdr:colOff>
      <xdr:row>56</xdr:row>
      <xdr:rowOff>180975</xdr:rowOff>
    </xdr:to>
    <xdr:sp macro="" textlink="">
      <xdr:nvSpPr>
        <xdr:cNvPr id="24" name="Star: 5 Points 23">
          <a:extLst>
            <a:ext uri="{FF2B5EF4-FFF2-40B4-BE49-F238E27FC236}">
              <a16:creationId xmlns:a16="http://schemas.microsoft.com/office/drawing/2014/main" id="{4DA47207-469F-4277-B921-A7FE13E83EBF}"/>
            </a:ext>
          </a:extLst>
        </xdr:cNvPr>
        <xdr:cNvSpPr/>
      </xdr:nvSpPr>
      <xdr:spPr>
        <a:xfrm>
          <a:off x="11372850" y="11029950"/>
          <a:ext cx="476250" cy="523875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28575</xdr:colOff>
      <xdr:row>50</xdr:row>
      <xdr:rowOff>114300</xdr:rowOff>
    </xdr:from>
    <xdr:to>
      <xdr:col>10</xdr:col>
      <xdr:colOff>95250</xdr:colOff>
      <xdr:row>73</xdr:row>
      <xdr:rowOff>76200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9F121A18-89E3-48AE-9691-FEF10F9F0E20}"/>
            </a:ext>
          </a:extLst>
        </xdr:cNvPr>
        <xdr:cNvSpPr/>
      </xdr:nvSpPr>
      <xdr:spPr>
        <a:xfrm>
          <a:off x="11668125" y="10344150"/>
          <a:ext cx="2543175" cy="4343400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8</xdr:col>
      <xdr:colOff>9525</xdr:colOff>
      <xdr:row>73</xdr:row>
      <xdr:rowOff>142875</xdr:rowOff>
    </xdr:from>
    <xdr:ext cx="1992725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ED43C08F-AEF9-4463-A1EA-1BDDC70C17B8}"/>
            </a:ext>
          </a:extLst>
        </xdr:cNvPr>
        <xdr:cNvSpPr txBox="1"/>
      </xdr:nvSpPr>
      <xdr:spPr>
        <a:xfrm>
          <a:off x="11649075" y="14754225"/>
          <a:ext cx="19927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/>
            <a:t>Extended</a:t>
          </a:r>
          <a:r>
            <a:rPr lang="fr-FR" sz="1100" b="1" baseline="0"/>
            <a:t> lifetime - Repowering</a:t>
          </a:r>
          <a:endParaRPr lang="fr-FR" sz="1100" b="1"/>
        </a:p>
      </xdr:txBody>
    </xdr:sp>
    <xdr:clientData/>
  </xdr:oneCellAnchor>
  <xdr:twoCellAnchor>
    <xdr:from>
      <xdr:col>7</xdr:col>
      <xdr:colOff>1057275</xdr:colOff>
      <xdr:row>49</xdr:row>
      <xdr:rowOff>114300</xdr:rowOff>
    </xdr:from>
    <xdr:to>
      <xdr:col>8</xdr:col>
      <xdr:colOff>123825</xdr:colOff>
      <xdr:row>53</xdr:row>
      <xdr:rowOff>180975</xdr:rowOff>
    </xdr:to>
    <xdr:sp macro="" textlink="">
      <xdr:nvSpPr>
        <xdr:cNvPr id="27" name="Arrow: Up 26">
          <a:extLst>
            <a:ext uri="{FF2B5EF4-FFF2-40B4-BE49-F238E27FC236}">
              <a16:creationId xmlns:a16="http://schemas.microsoft.com/office/drawing/2014/main" id="{EBE4FB75-FC73-454B-A5BD-CD6999A90B94}"/>
            </a:ext>
          </a:extLst>
        </xdr:cNvPr>
        <xdr:cNvSpPr/>
      </xdr:nvSpPr>
      <xdr:spPr>
        <a:xfrm>
          <a:off x="11468100" y="10153650"/>
          <a:ext cx="295275" cy="828675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228600</xdr:colOff>
      <xdr:row>51</xdr:row>
      <xdr:rowOff>95250</xdr:rowOff>
    </xdr:from>
    <xdr:to>
      <xdr:col>5</xdr:col>
      <xdr:colOff>523875</xdr:colOff>
      <xdr:row>53</xdr:row>
      <xdr:rowOff>142875</xdr:rowOff>
    </xdr:to>
    <xdr:sp macro="" textlink="">
      <xdr:nvSpPr>
        <xdr:cNvPr id="28" name="Arrow: Up 27">
          <a:extLst>
            <a:ext uri="{FF2B5EF4-FFF2-40B4-BE49-F238E27FC236}">
              <a16:creationId xmlns:a16="http://schemas.microsoft.com/office/drawing/2014/main" id="{85AA9C1A-B42C-4A70-A7A5-941314770CB1}"/>
            </a:ext>
          </a:extLst>
        </xdr:cNvPr>
        <xdr:cNvSpPr/>
      </xdr:nvSpPr>
      <xdr:spPr>
        <a:xfrm>
          <a:off x="7981950" y="10515600"/>
          <a:ext cx="295275" cy="428625"/>
        </a:xfrm>
        <a:prstGeom prst="upArrow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25</xdr:row>
      <xdr:rowOff>1</xdr:rowOff>
    </xdr:from>
    <xdr:to>
      <xdr:col>10</xdr:col>
      <xdr:colOff>28575</xdr:colOff>
      <xdr:row>35</xdr:row>
      <xdr:rowOff>200025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8C707394-918B-42EF-95DF-5F3144E76505}"/>
            </a:ext>
          </a:extLst>
        </xdr:cNvPr>
        <xdr:cNvSpPr/>
      </xdr:nvSpPr>
      <xdr:spPr>
        <a:xfrm>
          <a:off x="12439650" y="5172076"/>
          <a:ext cx="1704975" cy="23336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FE37-32B3-4732-815F-DD2163A849E8}">
  <dimension ref="C1:Q75"/>
  <sheetViews>
    <sheetView showGridLines="0" topLeftCell="C16" zoomScaleNormal="100" workbookViewId="0">
      <selection activeCell="N52" sqref="N52"/>
    </sheetView>
  </sheetViews>
  <sheetFormatPr defaultRowHeight="15" x14ac:dyDescent="0.25"/>
  <cols>
    <col min="3" max="3" width="22.5703125" customWidth="1"/>
    <col min="4" max="4" width="55.7109375" bestFit="1" customWidth="1"/>
    <col min="5" max="5" width="19.7109375" customWidth="1"/>
    <col min="6" max="6" width="22.5703125" customWidth="1"/>
    <col min="7" max="7" width="17.28515625" customWidth="1"/>
    <col min="8" max="8" width="18.42578125" customWidth="1"/>
    <col min="9" max="9" width="12" bestFit="1" customWidth="1"/>
    <col min="10" max="10" width="25.140625" customWidth="1"/>
    <col min="13" max="13" width="15.7109375" customWidth="1"/>
    <col min="15" max="15" width="21.85546875" bestFit="1" customWidth="1"/>
    <col min="16" max="16" width="24.85546875" customWidth="1"/>
    <col min="17" max="17" width="30.5703125" bestFit="1" customWidth="1"/>
  </cols>
  <sheetData>
    <row r="1" spans="3:17" x14ac:dyDescent="0.25">
      <c r="C1" s="18" t="s">
        <v>45</v>
      </c>
      <c r="D1" s="17" t="s">
        <v>44</v>
      </c>
    </row>
    <row r="2" spans="3:17" ht="15.75" thickBot="1" x14ac:dyDescent="0.3"/>
    <row r="3" spans="3:17" x14ac:dyDescent="0.25">
      <c r="D3" s="25" t="s">
        <v>29</v>
      </c>
      <c r="E3" s="26">
        <v>1</v>
      </c>
      <c r="F3" s="27" t="s">
        <v>23</v>
      </c>
      <c r="G3" s="102" t="s">
        <v>34</v>
      </c>
      <c r="M3" s="16" t="s">
        <v>31</v>
      </c>
    </row>
    <row r="4" spans="3:17" x14ac:dyDescent="0.25">
      <c r="D4" s="28" t="s">
        <v>30</v>
      </c>
      <c r="E4" s="19">
        <v>8</v>
      </c>
      <c r="F4" s="29" t="s">
        <v>23</v>
      </c>
      <c r="G4" s="102" t="s">
        <v>34</v>
      </c>
      <c r="M4" s="13" t="s">
        <v>24</v>
      </c>
      <c r="N4" t="s">
        <v>50</v>
      </c>
    </row>
    <row r="5" spans="3:17" ht="16.5" x14ac:dyDescent="0.25">
      <c r="C5" s="1"/>
      <c r="D5" s="28" t="s">
        <v>0</v>
      </c>
      <c r="E5" s="19">
        <v>40000</v>
      </c>
      <c r="F5" s="29"/>
      <c r="G5" s="102" t="s">
        <v>35</v>
      </c>
      <c r="M5" s="13" t="s">
        <v>25</v>
      </c>
      <c r="N5" t="s">
        <v>51</v>
      </c>
    </row>
    <row r="6" spans="3:17" ht="16.5" x14ac:dyDescent="0.25">
      <c r="C6" s="1"/>
      <c r="D6" s="28" t="s">
        <v>41</v>
      </c>
      <c r="E6" s="20">
        <f>E5*E7/1000</f>
        <v>12000</v>
      </c>
      <c r="F6" s="29" t="s">
        <v>42</v>
      </c>
      <c r="G6" s="102" t="s">
        <v>43</v>
      </c>
      <c r="M6" s="13" t="s">
        <v>28</v>
      </c>
      <c r="N6" t="s">
        <v>37</v>
      </c>
    </row>
    <row r="7" spans="3:17" ht="16.5" x14ac:dyDescent="0.25">
      <c r="C7" s="1"/>
      <c r="D7" s="28" t="s">
        <v>1</v>
      </c>
      <c r="E7" s="19">
        <v>300</v>
      </c>
      <c r="F7" s="29" t="s">
        <v>6</v>
      </c>
      <c r="G7" s="102" t="s">
        <v>14</v>
      </c>
      <c r="M7" s="13" t="s">
        <v>32</v>
      </c>
      <c r="N7" t="s">
        <v>67</v>
      </c>
    </row>
    <row r="8" spans="3:17" ht="16.5" x14ac:dyDescent="0.25">
      <c r="C8" s="1"/>
      <c r="D8" s="28" t="s">
        <v>2</v>
      </c>
      <c r="E8" s="21">
        <v>25</v>
      </c>
      <c r="F8" s="29" t="s">
        <v>19</v>
      </c>
      <c r="G8" s="102" t="s">
        <v>101</v>
      </c>
      <c r="M8" s="13"/>
      <c r="P8" s="54" t="s">
        <v>42</v>
      </c>
      <c r="Q8" s="54" t="s">
        <v>6</v>
      </c>
    </row>
    <row r="9" spans="3:17" ht="16.5" x14ac:dyDescent="0.25">
      <c r="C9" s="1"/>
      <c r="D9" s="28" t="s">
        <v>79</v>
      </c>
      <c r="E9" s="21">
        <v>4</v>
      </c>
      <c r="F9" s="29" t="s">
        <v>19</v>
      </c>
      <c r="G9" s="102" t="s">
        <v>80</v>
      </c>
      <c r="M9" s="13"/>
      <c r="P9" s="54"/>
      <c r="Q9" s="54"/>
    </row>
    <row r="10" spans="3:17" ht="16.5" x14ac:dyDescent="0.25">
      <c r="C10" s="1"/>
      <c r="D10" s="28" t="s">
        <v>81</v>
      </c>
      <c r="E10" s="21">
        <v>15</v>
      </c>
      <c r="F10" s="29" t="s">
        <v>19</v>
      </c>
      <c r="G10" s="102" t="s">
        <v>103</v>
      </c>
      <c r="M10" s="13"/>
      <c r="P10" s="54"/>
      <c r="Q10" s="54"/>
    </row>
    <row r="11" spans="3:17" ht="16.5" x14ac:dyDescent="0.25">
      <c r="C11" s="1"/>
      <c r="D11" s="28" t="s">
        <v>21</v>
      </c>
      <c r="E11" s="21">
        <v>0.5</v>
      </c>
      <c r="F11" s="29" t="s">
        <v>18</v>
      </c>
      <c r="G11" s="102" t="s">
        <v>82</v>
      </c>
      <c r="M11" s="10"/>
      <c r="N11" s="10"/>
      <c r="O11" s="10" t="s">
        <v>71</v>
      </c>
      <c r="P11" s="10" t="s">
        <v>72</v>
      </c>
      <c r="Q11" s="10" t="s">
        <v>74</v>
      </c>
    </row>
    <row r="12" spans="3:17" ht="16.5" x14ac:dyDescent="0.25">
      <c r="C12" s="1"/>
      <c r="D12" s="28" t="s">
        <v>3</v>
      </c>
      <c r="E12" s="21">
        <v>0.25</v>
      </c>
      <c r="F12" s="29" t="s">
        <v>18</v>
      </c>
      <c r="G12" s="102" t="s">
        <v>49</v>
      </c>
      <c r="M12" s="53" t="s">
        <v>24</v>
      </c>
      <c r="N12" s="24">
        <v>0.85</v>
      </c>
      <c r="O12" s="54">
        <f>N12*E5</f>
        <v>34000</v>
      </c>
      <c r="P12" s="55">
        <f>E6*N12*E18</f>
        <v>9799.2662097286648</v>
      </c>
      <c r="Q12" s="54">
        <f>E7</f>
        <v>300</v>
      </c>
    </row>
    <row r="13" spans="3:17" ht="16.5" x14ac:dyDescent="0.25">
      <c r="C13" s="1"/>
      <c r="D13" s="28" t="s">
        <v>4</v>
      </c>
      <c r="E13" s="19">
        <v>1200</v>
      </c>
      <c r="F13" s="29" t="s">
        <v>5</v>
      </c>
      <c r="G13" s="102" t="s">
        <v>15</v>
      </c>
      <c r="M13" s="56"/>
      <c r="N13" s="56"/>
      <c r="O13" s="57"/>
      <c r="P13" s="56"/>
      <c r="Q13" s="56"/>
    </row>
    <row r="14" spans="3:17" ht="16.5" x14ac:dyDescent="0.25">
      <c r="C14" s="1"/>
      <c r="D14" s="28" t="s">
        <v>7</v>
      </c>
      <c r="E14" s="33">
        <v>8.1799999999999998E-2</v>
      </c>
      <c r="F14" s="30" t="s">
        <v>8</v>
      </c>
      <c r="G14" s="102" t="s">
        <v>16</v>
      </c>
      <c r="M14" s="10"/>
      <c r="N14" s="10"/>
      <c r="O14" s="10" t="s">
        <v>76</v>
      </c>
      <c r="P14" s="10" t="s">
        <v>73</v>
      </c>
      <c r="Q14" s="10" t="s">
        <v>75</v>
      </c>
    </row>
    <row r="15" spans="3:17" ht="16.5" x14ac:dyDescent="0.25">
      <c r="C15" s="1"/>
      <c r="D15" s="28" t="s">
        <v>9</v>
      </c>
      <c r="E15" s="22">
        <v>4.0000000000000001E-3</v>
      </c>
      <c r="F15" s="29" t="s">
        <v>10</v>
      </c>
      <c r="G15" s="102" t="s">
        <v>17</v>
      </c>
      <c r="M15" s="53" t="s">
        <v>25</v>
      </c>
      <c r="N15" s="58">
        <f>1-N12</f>
        <v>0.15000000000000002</v>
      </c>
      <c r="O15" s="54">
        <f>E5*N15</f>
        <v>6000.0000000000009</v>
      </c>
      <c r="P15" s="55">
        <f>E6-P12</f>
        <v>2200.7337902713352</v>
      </c>
      <c r="Q15" s="55">
        <f>P15*1000/O15</f>
        <v>366.78896504522248</v>
      </c>
    </row>
    <row r="16" spans="3:17" ht="16.5" x14ac:dyDescent="0.25">
      <c r="C16" s="1"/>
      <c r="D16" s="28" t="s">
        <v>11</v>
      </c>
      <c r="E16" s="20">
        <f>20-E17</f>
        <v>10</v>
      </c>
      <c r="F16" s="29" t="s">
        <v>62</v>
      </c>
      <c r="G16" s="102" t="s">
        <v>53</v>
      </c>
      <c r="M16" t="s">
        <v>77</v>
      </c>
    </row>
    <row r="17" spans="3:13" ht="16.5" x14ac:dyDescent="0.25">
      <c r="C17" s="1"/>
      <c r="D17" s="28" t="s">
        <v>13</v>
      </c>
      <c r="E17" s="19">
        <v>10</v>
      </c>
      <c r="F17" s="29" t="s">
        <v>62</v>
      </c>
      <c r="G17" s="102" t="s">
        <v>39</v>
      </c>
      <c r="M17" t="s">
        <v>78</v>
      </c>
    </row>
    <row r="18" spans="3:13" x14ac:dyDescent="0.25">
      <c r="D18" s="28" t="s">
        <v>12</v>
      </c>
      <c r="E18" s="23">
        <f>POWER(1-E15,E17)</f>
        <v>0.96071237350281025</v>
      </c>
      <c r="F18" s="29" t="s">
        <v>20</v>
      </c>
      <c r="G18" s="102" t="s">
        <v>40</v>
      </c>
    </row>
    <row r="19" spans="3:13" ht="16.5" x14ac:dyDescent="0.25">
      <c r="C19" s="2"/>
      <c r="D19" s="28" t="s">
        <v>22</v>
      </c>
      <c r="E19" s="24">
        <v>0.1</v>
      </c>
      <c r="F19" s="29" t="s">
        <v>27</v>
      </c>
      <c r="G19" s="102" t="s">
        <v>55</v>
      </c>
    </row>
    <row r="20" spans="3:13" ht="17.25" thickBot="1" x14ac:dyDescent="0.3">
      <c r="C20" s="2"/>
      <c r="D20" s="36" t="s">
        <v>33</v>
      </c>
      <c r="E20" s="37">
        <v>0.06</v>
      </c>
      <c r="F20" s="38" t="s">
        <v>10</v>
      </c>
      <c r="G20" s="102" t="s">
        <v>56</v>
      </c>
    </row>
    <row r="21" spans="3:13" ht="16.5" x14ac:dyDescent="0.25">
      <c r="C21" s="2"/>
      <c r="D21" s="39" t="s">
        <v>61</v>
      </c>
      <c r="E21" s="40">
        <v>5</v>
      </c>
      <c r="F21" s="41" t="s">
        <v>62</v>
      </c>
      <c r="G21" s="102" t="s">
        <v>85</v>
      </c>
    </row>
    <row r="22" spans="3:13" ht="16.5" x14ac:dyDescent="0.25">
      <c r="C22" s="2"/>
      <c r="D22" s="62" t="s">
        <v>83</v>
      </c>
      <c r="E22" s="63">
        <v>10</v>
      </c>
      <c r="F22" s="64" t="s">
        <v>62</v>
      </c>
      <c r="G22" s="102" t="s">
        <v>84</v>
      </c>
    </row>
    <row r="23" spans="3:13" ht="17.25" thickBot="1" x14ac:dyDescent="0.3">
      <c r="C23" s="2"/>
      <c r="D23" s="42" t="s">
        <v>63</v>
      </c>
      <c r="E23" s="43">
        <v>0.03</v>
      </c>
      <c r="F23" s="44" t="s">
        <v>8</v>
      </c>
      <c r="G23" s="102" t="s">
        <v>64</v>
      </c>
    </row>
    <row r="24" spans="3:13" ht="16.5" x14ac:dyDescent="0.25">
      <c r="C24" s="2"/>
      <c r="E24" s="34"/>
      <c r="F24" s="35"/>
    </row>
    <row r="25" spans="3:13" ht="16.5" x14ac:dyDescent="0.25">
      <c r="C25" s="1" t="s">
        <v>58</v>
      </c>
      <c r="E25" s="60" t="s">
        <v>98</v>
      </c>
      <c r="F25" s="65">
        <f>E21</f>
        <v>5</v>
      </c>
      <c r="G25" s="65">
        <f>E21</f>
        <v>5</v>
      </c>
      <c r="H25" s="104">
        <f>E22</f>
        <v>10</v>
      </c>
      <c r="J25" s="65">
        <f>F25</f>
        <v>5</v>
      </c>
    </row>
    <row r="26" spans="3:13" ht="16.5" x14ac:dyDescent="0.25">
      <c r="C26" s="2"/>
      <c r="D26" s="7"/>
      <c r="E26" s="8" t="s">
        <v>32</v>
      </c>
      <c r="F26" s="8" t="s">
        <v>94</v>
      </c>
      <c r="G26" s="103" t="s">
        <v>95</v>
      </c>
      <c r="H26" s="8" t="s">
        <v>96</v>
      </c>
      <c r="I26" s="106"/>
      <c r="J26" s="8" t="s">
        <v>97</v>
      </c>
      <c r="K26" s="66">
        <f>N12</f>
        <v>0.85</v>
      </c>
      <c r="L26" s="66">
        <f>N15</f>
        <v>0.15000000000000002</v>
      </c>
      <c r="M26" s="108"/>
    </row>
    <row r="27" spans="3:13" ht="16.5" x14ac:dyDescent="0.25">
      <c r="C27" s="2"/>
      <c r="D27" s="3" t="s">
        <v>26</v>
      </c>
      <c r="E27" s="31">
        <v>0</v>
      </c>
      <c r="F27" s="14">
        <f>E5*E8+E9*E5</f>
        <v>1160000</v>
      </c>
      <c r="G27" s="14">
        <f>E5*E7*E12+E9*E5</f>
        <v>3160000</v>
      </c>
      <c r="H27" s="105">
        <f>E5*E7*E11*(1+E19)+E5*E10</f>
        <v>7200000.0000000009</v>
      </c>
      <c r="J27" s="5">
        <f>N12*F27+P15*E12*1000</f>
        <v>1536183.4475678338</v>
      </c>
    </row>
    <row r="28" spans="3:13" ht="16.5" x14ac:dyDescent="0.25">
      <c r="C28" s="2"/>
      <c r="D28" s="113" t="s">
        <v>100</v>
      </c>
      <c r="E28" s="112"/>
      <c r="F28" s="114">
        <f>E18</f>
        <v>0.96071237350281025</v>
      </c>
      <c r="G28" s="114">
        <v>1</v>
      </c>
      <c r="H28" s="115">
        <v>1.1000000000000001</v>
      </c>
      <c r="I28" s="102"/>
      <c r="J28" s="116">
        <v>1</v>
      </c>
    </row>
    <row r="29" spans="3:13" ht="17.25" thickBot="1" x14ac:dyDescent="0.3">
      <c r="C29" s="2"/>
      <c r="D29" s="67" t="s">
        <v>60</v>
      </c>
      <c r="E29" s="68">
        <f>E14*(E5*E7/1000)*E13*E18*((1-POWER(1-E20,E16))/E20-0/12)</f>
        <v>8702044.3705925196</v>
      </c>
      <c r="F29" s="68">
        <f>E14*(E5*E7/1000)*E13*E18*((1-POWER(1-E15,E16))/E15-E3/12)</f>
        <v>11020581.662703317</v>
      </c>
      <c r="G29" s="68">
        <f>E14*(E5*E7/1000)*E13*((1-POWER(1-E15,E16))/E15-1/12)</f>
        <v>11471260.250892438</v>
      </c>
      <c r="H29" s="68">
        <f>E14*(E5*E7/1000)*(1+E19)*E13*IF(E16&gt;E4/12,(1-POWER(1-E15,E16-E4/12))/E15,0)</f>
        <v>11893715.133564001</v>
      </c>
      <c r="J29" s="4">
        <f>G29</f>
        <v>11471260.250892438</v>
      </c>
    </row>
    <row r="30" spans="3:13" ht="17.25" thickBot="1" x14ac:dyDescent="0.3">
      <c r="C30" s="2"/>
      <c r="D30" s="69" t="s">
        <v>65</v>
      </c>
      <c r="E30" s="70">
        <f>E29</f>
        <v>8702044.3705925196</v>
      </c>
      <c r="F30" s="70">
        <f>F29-F27</f>
        <v>9860581.6627033167</v>
      </c>
      <c r="G30" s="71">
        <f>G29-G27</f>
        <v>8311260.250892438</v>
      </c>
      <c r="H30" s="72">
        <f>H29-H27</f>
        <v>4693715.133564</v>
      </c>
      <c r="I30" s="59"/>
      <c r="J30" s="4">
        <f>J29-J27</f>
        <v>9935076.8033246044</v>
      </c>
    </row>
    <row r="31" spans="3:13" ht="17.25" thickBot="1" x14ac:dyDescent="0.3">
      <c r="C31" s="2"/>
      <c r="D31" s="73"/>
      <c r="E31" s="74"/>
      <c r="F31" s="74"/>
      <c r="G31" s="75"/>
      <c r="H31" s="76"/>
      <c r="I31" s="59"/>
      <c r="J31" s="107"/>
    </row>
    <row r="32" spans="3:13" ht="16.5" x14ac:dyDescent="0.25">
      <c r="C32" s="2"/>
      <c r="D32" s="77" t="s">
        <v>87</v>
      </c>
      <c r="E32" s="78">
        <f>E23*(E5*E7/1000)*E13*E18*((1-POWER(1-E20,(E16+E21)))/E20-0/12)-E23*(E5*E7/1000)*E13*E18*((1-POWER(1-E20,E16))/E20-0/12)</f>
        <v>991385.87366872001</v>
      </c>
      <c r="F32" s="78">
        <f>E23*(E5*E7/1000)*E13*E18*((1-POWER(1-E15,(E16+E21)))/E15-0/12)-E23*(E5*E7/1000)*E13*E18*((1-POWER(1-E15,E16))/E15-0/12)</f>
        <v>1977726.2280041091</v>
      </c>
      <c r="G32" s="79">
        <f>E23*(E5*E7/1000)*E13*((1-POWER(1-E15,(E16+E21)))/E15-0/12)-E23*(E5*E7/1000)*E13*((1-POWER(1-E15,E16))/E15-0/12)</f>
        <v>2058603.888688568</v>
      </c>
      <c r="H32" s="80">
        <f>E23*(E5*E7/1000)*(1+E19)*E13*IF(E16&gt;0/12,(1-POWER(1-E15,(E16+E22)-0/12))/E15,0)-E23*(E5*E7/1000)*(1+E19)*E13*IF(E16&gt;0/12,(1-POWER(1-E15,E16-0/12))/E15,0)</f>
        <v>4484000.1374871656</v>
      </c>
      <c r="J32" s="61">
        <f>G32</f>
        <v>2058603.888688568</v>
      </c>
    </row>
    <row r="33" spans="3:10" ht="17.25" thickBot="1" x14ac:dyDescent="0.3">
      <c r="C33" s="2"/>
      <c r="D33" s="81" t="s">
        <v>86</v>
      </c>
      <c r="E33" s="82">
        <f>E30+E32</f>
        <v>9693430.2442612387</v>
      </c>
      <c r="F33" s="82">
        <f t="shared" ref="F33:H33" si="0">F30+F32</f>
        <v>11838307.890707426</v>
      </c>
      <c r="G33" s="82">
        <f t="shared" si="0"/>
        <v>10369864.139581006</v>
      </c>
      <c r="H33" s="83">
        <f t="shared" si="0"/>
        <v>9177715.2710511647</v>
      </c>
      <c r="J33" s="61">
        <f>J32+J30</f>
        <v>11993680.692013172</v>
      </c>
    </row>
    <row r="34" spans="3:10" ht="16.5" x14ac:dyDescent="0.25">
      <c r="C34" s="2"/>
      <c r="J34" s="9"/>
    </row>
    <row r="35" spans="3:10" ht="16.5" x14ac:dyDescent="0.25">
      <c r="C35" s="2"/>
      <c r="D35" s="6" t="s">
        <v>59</v>
      </c>
      <c r="E35" s="12">
        <v>0</v>
      </c>
      <c r="F35" s="4">
        <f>F33-E33</f>
        <v>2144877.646446187</v>
      </c>
      <c r="G35" s="11">
        <f>G33-E33</f>
        <v>676433.8953197673</v>
      </c>
      <c r="H35" s="14">
        <f>H33-E33</f>
        <v>-515714.97321007401</v>
      </c>
      <c r="J35" s="4">
        <f>J33-E33</f>
        <v>2300250.4477519337</v>
      </c>
    </row>
    <row r="36" spans="3:10" ht="16.5" x14ac:dyDescent="0.25">
      <c r="C36" s="2"/>
      <c r="D36" s="9" t="s">
        <v>52</v>
      </c>
      <c r="F36" s="84">
        <f>F35/E33</f>
        <v>0.22127127264530635</v>
      </c>
      <c r="G36" s="84">
        <f>G35/E33</f>
        <v>6.9782716569321127E-2</v>
      </c>
      <c r="H36" s="32">
        <f>H35/E33</f>
        <v>-5.320252585666365E-2</v>
      </c>
      <c r="J36" s="23">
        <f>J35/E33</f>
        <v>0.23729994334190846</v>
      </c>
    </row>
    <row r="37" spans="3:10" ht="17.25" thickBot="1" x14ac:dyDescent="0.3">
      <c r="C37" s="2"/>
      <c r="D37" s="9"/>
      <c r="F37" s="100"/>
      <c r="G37" s="100"/>
      <c r="H37" s="101"/>
    </row>
    <row r="38" spans="3:10" x14ac:dyDescent="0.25">
      <c r="D38" s="85" t="s">
        <v>88</v>
      </c>
      <c r="E38" s="86"/>
      <c r="F38" s="87" t="s">
        <v>92</v>
      </c>
      <c r="G38" s="88"/>
      <c r="H38" s="89"/>
    </row>
    <row r="39" spans="3:10" ht="15.75" thickBot="1" x14ac:dyDescent="0.3">
      <c r="D39" s="90"/>
      <c r="E39" s="91"/>
      <c r="F39" s="92" t="s">
        <v>93</v>
      </c>
      <c r="G39" s="92"/>
      <c r="H39" s="93"/>
    </row>
    <row r="40" spans="3:10" x14ac:dyDescent="0.25">
      <c r="D40" s="85" t="s">
        <v>89</v>
      </c>
      <c r="E40" s="86"/>
      <c r="F40" s="94" t="s">
        <v>36</v>
      </c>
      <c r="G40" s="86"/>
      <c r="H40" s="95"/>
    </row>
    <row r="41" spans="3:10" x14ac:dyDescent="0.25">
      <c r="D41" s="96"/>
      <c r="F41" s="15" t="s">
        <v>91</v>
      </c>
      <c r="H41" s="97"/>
    </row>
    <row r="42" spans="3:10" x14ac:dyDescent="0.25">
      <c r="D42" s="96"/>
      <c r="F42" s="15" t="s">
        <v>38</v>
      </c>
      <c r="H42" s="97"/>
    </row>
    <row r="43" spans="3:10" ht="15.75" thickBot="1" x14ac:dyDescent="0.3">
      <c r="D43" s="90"/>
      <c r="E43" s="91"/>
      <c r="F43" s="98" t="s">
        <v>90</v>
      </c>
      <c r="G43" s="91"/>
      <c r="H43" s="99"/>
    </row>
    <row r="44" spans="3:10" x14ac:dyDescent="0.25">
      <c r="F44" s="15"/>
    </row>
    <row r="45" spans="3:10" x14ac:dyDescent="0.25">
      <c r="D45" s="9" t="s">
        <v>46</v>
      </c>
      <c r="E45" t="s">
        <v>47</v>
      </c>
    </row>
    <row r="46" spans="3:10" x14ac:dyDescent="0.25">
      <c r="E46" t="s">
        <v>48</v>
      </c>
    </row>
    <row r="47" spans="3:10" x14ac:dyDescent="0.25">
      <c r="E47" t="s">
        <v>57</v>
      </c>
    </row>
    <row r="48" spans="3:10" x14ac:dyDescent="0.25">
      <c r="E48" t="s">
        <v>54</v>
      </c>
    </row>
    <row r="49" spans="4:13" x14ac:dyDescent="0.25">
      <c r="E49" t="s">
        <v>66</v>
      </c>
    </row>
    <row r="50" spans="4:13" x14ac:dyDescent="0.25">
      <c r="I50" s="110" t="s">
        <v>99</v>
      </c>
    </row>
    <row r="53" spans="4:13" x14ac:dyDescent="0.25">
      <c r="F53" s="111">
        <f>E19</f>
        <v>0.1</v>
      </c>
    </row>
    <row r="56" spans="4:13" x14ac:dyDescent="0.25">
      <c r="D56" s="45">
        <f>-E15</f>
        <v>-4.0000000000000001E-3</v>
      </c>
      <c r="E56" s="46" t="s">
        <v>10</v>
      </c>
      <c r="M56" s="110"/>
    </row>
    <row r="57" spans="4:13" x14ac:dyDescent="0.25">
      <c r="G57" s="45">
        <f>D56</f>
        <v>-4.0000000000000001E-3</v>
      </c>
      <c r="M57" s="110"/>
    </row>
    <row r="61" spans="4:13" x14ac:dyDescent="0.25">
      <c r="G61" s="47">
        <f>-E20</f>
        <v>-0.06</v>
      </c>
    </row>
    <row r="65" spans="5:10" x14ac:dyDescent="0.25">
      <c r="E65" s="48" t="s">
        <v>68</v>
      </c>
      <c r="H65" s="46" t="s">
        <v>70</v>
      </c>
      <c r="J65" t="s">
        <v>70</v>
      </c>
    </row>
    <row r="66" spans="5:10" x14ac:dyDescent="0.25">
      <c r="E66" s="49">
        <f>E16+E17</f>
        <v>20</v>
      </c>
      <c r="F66" s="46" t="s">
        <v>69</v>
      </c>
      <c r="G66" s="50">
        <f>E21</f>
        <v>5</v>
      </c>
      <c r="H66" s="46" t="s">
        <v>69</v>
      </c>
      <c r="I66" s="9">
        <f>E22-E21</f>
        <v>5</v>
      </c>
      <c r="J66" t="s">
        <v>69</v>
      </c>
    </row>
    <row r="67" spans="5:10" x14ac:dyDescent="0.25">
      <c r="E67" s="51">
        <f>E12</f>
        <v>0.25</v>
      </c>
      <c r="F67" s="46" t="str">
        <f>F23</f>
        <v>€/kWh</v>
      </c>
      <c r="G67" s="51">
        <f>E23</f>
        <v>0.03</v>
      </c>
      <c r="H67" s="46" t="str">
        <f>F23</f>
        <v>€/kWh</v>
      </c>
      <c r="I67" s="109">
        <f>E23</f>
        <v>0.03</v>
      </c>
      <c r="J67" s="46" t="str">
        <f>H67</f>
        <v>€/kWh</v>
      </c>
    </row>
    <row r="70" spans="5:10" x14ac:dyDescent="0.25">
      <c r="E70" s="52">
        <f>E17</f>
        <v>10</v>
      </c>
      <c r="F70" s="46" t="s">
        <v>69</v>
      </c>
      <c r="G70" s="52">
        <f>E16+E21</f>
        <v>15</v>
      </c>
      <c r="H70" s="46" t="s">
        <v>69</v>
      </c>
      <c r="I70" s="9">
        <f>I66</f>
        <v>5</v>
      </c>
      <c r="J70" t="s">
        <v>69</v>
      </c>
    </row>
    <row r="75" spans="5:10" x14ac:dyDescent="0.25">
      <c r="I75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7438-0F7D-49C2-AD75-B6AB52749559}">
  <dimension ref="C1:Q75"/>
  <sheetViews>
    <sheetView showGridLines="0" tabSelected="1" workbookViewId="0">
      <selection activeCell="E6" sqref="E6"/>
    </sheetView>
  </sheetViews>
  <sheetFormatPr defaultRowHeight="15" x14ac:dyDescent="0.25"/>
  <cols>
    <col min="3" max="3" width="22.5703125" customWidth="1"/>
    <col min="4" max="4" width="55.7109375" bestFit="1" customWidth="1"/>
    <col min="5" max="5" width="19.7109375" customWidth="1"/>
    <col min="6" max="6" width="22.5703125" customWidth="1"/>
    <col min="7" max="7" width="17.28515625" customWidth="1"/>
    <col min="8" max="8" width="18.42578125" customWidth="1"/>
    <col min="9" max="9" width="12" bestFit="1" customWidth="1"/>
    <col min="10" max="10" width="25.140625" customWidth="1"/>
    <col min="13" max="13" width="15.7109375" customWidth="1"/>
    <col min="15" max="15" width="21.85546875" bestFit="1" customWidth="1"/>
    <col min="16" max="16" width="24.85546875" customWidth="1"/>
    <col min="17" max="17" width="30.5703125" bestFit="1" customWidth="1"/>
  </cols>
  <sheetData>
    <row r="1" spans="3:17" x14ac:dyDescent="0.25">
      <c r="C1" s="18" t="s">
        <v>45</v>
      </c>
      <c r="D1" s="17" t="s">
        <v>44</v>
      </c>
    </row>
    <row r="2" spans="3:17" ht="15.75" thickBot="1" x14ac:dyDescent="0.3"/>
    <row r="3" spans="3:17" x14ac:dyDescent="0.25">
      <c r="D3" s="25" t="s">
        <v>29</v>
      </c>
      <c r="E3" s="26">
        <v>1</v>
      </c>
      <c r="F3" s="27" t="s">
        <v>23</v>
      </c>
      <c r="G3" s="102" t="s">
        <v>34</v>
      </c>
      <c r="M3" s="16" t="s">
        <v>31</v>
      </c>
    </row>
    <row r="4" spans="3:17" x14ac:dyDescent="0.25">
      <c r="D4" s="28" t="s">
        <v>30</v>
      </c>
      <c r="E4" s="19">
        <v>8</v>
      </c>
      <c r="F4" s="29" t="s">
        <v>23</v>
      </c>
      <c r="G4" s="102" t="s">
        <v>34</v>
      </c>
      <c r="M4" s="13" t="s">
        <v>24</v>
      </c>
      <c r="N4" t="s">
        <v>50</v>
      </c>
    </row>
    <row r="5" spans="3:17" ht="16.5" x14ac:dyDescent="0.25">
      <c r="C5" s="1"/>
      <c r="D5" s="28" t="s">
        <v>0</v>
      </c>
      <c r="E5" s="19">
        <v>4304</v>
      </c>
      <c r="F5" s="29"/>
      <c r="G5" s="102" t="s">
        <v>35</v>
      </c>
      <c r="M5" s="13" t="s">
        <v>25</v>
      </c>
      <c r="N5" t="s">
        <v>51</v>
      </c>
    </row>
    <row r="6" spans="3:17" ht="16.5" x14ac:dyDescent="0.25">
      <c r="C6" s="1"/>
      <c r="D6" s="28" t="s">
        <v>41</v>
      </c>
      <c r="E6" s="20">
        <f>E5*E7/1000</f>
        <v>839.28</v>
      </c>
      <c r="F6" s="29" t="s">
        <v>42</v>
      </c>
      <c r="G6" s="102" t="s">
        <v>43</v>
      </c>
      <c r="M6" s="13" t="s">
        <v>28</v>
      </c>
      <c r="N6" t="s">
        <v>37</v>
      </c>
    </row>
    <row r="7" spans="3:17" ht="16.5" x14ac:dyDescent="0.25">
      <c r="C7" s="1"/>
      <c r="D7" s="28" t="s">
        <v>1</v>
      </c>
      <c r="E7" s="19">
        <v>195</v>
      </c>
      <c r="F7" s="29" t="s">
        <v>6</v>
      </c>
      <c r="G7" s="102" t="s">
        <v>14</v>
      </c>
      <c r="M7" s="13" t="s">
        <v>32</v>
      </c>
      <c r="N7" t="s">
        <v>67</v>
      </c>
    </row>
    <row r="8" spans="3:17" ht="16.5" x14ac:dyDescent="0.25">
      <c r="C8" s="1"/>
      <c r="D8" s="28" t="s">
        <v>2</v>
      </c>
      <c r="E8" s="21">
        <v>30</v>
      </c>
      <c r="F8" s="29" t="s">
        <v>19</v>
      </c>
      <c r="G8" s="102" t="s">
        <v>104</v>
      </c>
      <c r="M8" s="13"/>
      <c r="P8" s="54" t="s">
        <v>42</v>
      </c>
      <c r="Q8" s="54" t="s">
        <v>6</v>
      </c>
    </row>
    <row r="9" spans="3:17" ht="16.5" x14ac:dyDescent="0.25">
      <c r="C9" s="1"/>
      <c r="D9" s="28" t="s">
        <v>79</v>
      </c>
      <c r="E9" s="21">
        <v>5</v>
      </c>
      <c r="F9" s="29" t="s">
        <v>19</v>
      </c>
      <c r="G9" s="102" t="s">
        <v>80</v>
      </c>
      <c r="M9" s="13"/>
      <c r="P9" s="54"/>
      <c r="Q9" s="54"/>
    </row>
    <row r="10" spans="3:17" ht="16.5" x14ac:dyDescent="0.25">
      <c r="C10" s="1"/>
      <c r="D10" s="28" t="s">
        <v>81</v>
      </c>
      <c r="E10" s="21">
        <v>18</v>
      </c>
      <c r="F10" s="29" t="s">
        <v>19</v>
      </c>
      <c r="G10" s="102" t="s">
        <v>102</v>
      </c>
      <c r="M10" s="13"/>
      <c r="P10" s="54"/>
      <c r="Q10" s="54"/>
    </row>
    <row r="11" spans="3:17" ht="16.5" x14ac:dyDescent="0.25">
      <c r="C11" s="1"/>
      <c r="D11" s="28" t="s">
        <v>21</v>
      </c>
      <c r="E11" s="21">
        <v>0.7</v>
      </c>
      <c r="F11" s="29" t="s">
        <v>18</v>
      </c>
      <c r="G11" s="102" t="s">
        <v>82</v>
      </c>
      <c r="M11" s="10"/>
      <c r="N11" s="10"/>
      <c r="O11" s="10" t="s">
        <v>71</v>
      </c>
      <c r="P11" s="10" t="s">
        <v>72</v>
      </c>
      <c r="Q11" s="10" t="s">
        <v>74</v>
      </c>
    </row>
    <row r="12" spans="3:17" ht="16.5" x14ac:dyDescent="0.25">
      <c r="C12" s="1"/>
      <c r="D12" s="28" t="s">
        <v>3</v>
      </c>
      <c r="E12" s="21">
        <v>0.3</v>
      </c>
      <c r="F12" s="29" t="s">
        <v>18</v>
      </c>
      <c r="G12" s="102" t="s">
        <v>49</v>
      </c>
      <c r="M12" s="53" t="s">
        <v>24</v>
      </c>
      <c r="N12" s="24">
        <v>0.8</v>
      </c>
      <c r="O12" s="54">
        <f>N12*E5</f>
        <v>3443.2000000000003</v>
      </c>
      <c r="P12" s="55">
        <f>E6*N12*E18</f>
        <v>630.33955691500921</v>
      </c>
      <c r="Q12" s="54">
        <f>E7</f>
        <v>195</v>
      </c>
    </row>
    <row r="13" spans="3:17" ht="16.5" x14ac:dyDescent="0.25">
      <c r="C13" s="1"/>
      <c r="D13" s="28" t="s">
        <v>4</v>
      </c>
      <c r="E13" s="19">
        <v>1180</v>
      </c>
      <c r="F13" s="29" t="s">
        <v>5</v>
      </c>
      <c r="G13" s="102" t="s">
        <v>15</v>
      </c>
      <c r="M13" s="56"/>
      <c r="N13" s="56"/>
      <c r="O13" s="57"/>
      <c r="P13" s="56"/>
      <c r="Q13" s="56"/>
    </row>
    <row r="14" spans="3:17" ht="16.5" x14ac:dyDescent="0.25">
      <c r="C14" s="1"/>
      <c r="D14" s="28" t="s">
        <v>7</v>
      </c>
      <c r="E14" s="33">
        <v>0.75</v>
      </c>
      <c r="F14" s="30" t="s">
        <v>8</v>
      </c>
      <c r="G14" s="102" t="s">
        <v>16</v>
      </c>
      <c r="M14" s="10"/>
      <c r="N14" s="10"/>
      <c r="O14" s="10" t="s">
        <v>76</v>
      </c>
      <c r="P14" s="10" t="s">
        <v>73</v>
      </c>
      <c r="Q14" s="10" t="s">
        <v>75</v>
      </c>
    </row>
    <row r="15" spans="3:17" ht="16.5" x14ac:dyDescent="0.25">
      <c r="C15" s="1"/>
      <c r="D15" s="28" t="s">
        <v>9</v>
      </c>
      <c r="E15" s="22">
        <v>4.4999999999999997E-3</v>
      </c>
      <c r="F15" s="29" t="s">
        <v>10</v>
      </c>
      <c r="G15" s="102" t="s">
        <v>17</v>
      </c>
      <c r="M15" s="53" t="s">
        <v>25</v>
      </c>
      <c r="N15" s="58">
        <f>1-N12</f>
        <v>0.19999999999999996</v>
      </c>
      <c r="O15" s="54">
        <f>E5*N15</f>
        <v>860.79999999999984</v>
      </c>
      <c r="P15" s="55">
        <f>E6-P12</f>
        <v>208.94044308499076</v>
      </c>
      <c r="Q15" s="55">
        <f>P15*1000/O15</f>
        <v>242.72820990356738</v>
      </c>
    </row>
    <row r="16" spans="3:17" ht="16.5" x14ac:dyDescent="0.25">
      <c r="C16" s="1"/>
      <c r="D16" s="28" t="s">
        <v>11</v>
      </c>
      <c r="E16" s="20">
        <f>20-E17</f>
        <v>6</v>
      </c>
      <c r="F16" s="29" t="s">
        <v>62</v>
      </c>
      <c r="G16" s="102" t="s">
        <v>53</v>
      </c>
      <c r="M16" t="s">
        <v>77</v>
      </c>
    </row>
    <row r="17" spans="3:13" ht="16.5" x14ac:dyDescent="0.25">
      <c r="C17" s="1"/>
      <c r="D17" s="28" t="s">
        <v>13</v>
      </c>
      <c r="E17" s="19">
        <v>14</v>
      </c>
      <c r="F17" s="29" t="s">
        <v>62</v>
      </c>
      <c r="G17" s="102" t="s">
        <v>39</v>
      </c>
      <c r="M17" t="s">
        <v>78</v>
      </c>
    </row>
    <row r="18" spans="3:13" x14ac:dyDescent="0.25">
      <c r="D18" s="28" t="s">
        <v>12</v>
      </c>
      <c r="E18" s="23">
        <f>POWER(1-E15,E17)</f>
        <v>0.93880998730311871</v>
      </c>
      <c r="F18" s="29" t="s">
        <v>20</v>
      </c>
      <c r="G18" s="102" t="s">
        <v>40</v>
      </c>
    </row>
    <row r="19" spans="3:13" ht="16.5" x14ac:dyDescent="0.25">
      <c r="C19" s="2"/>
      <c r="D19" s="28" t="s">
        <v>22</v>
      </c>
      <c r="E19" s="24">
        <v>0.1</v>
      </c>
      <c r="F19" s="29" t="s">
        <v>27</v>
      </c>
      <c r="G19" s="102" t="s">
        <v>55</v>
      </c>
    </row>
    <row r="20" spans="3:13" ht="17.25" thickBot="1" x14ac:dyDescent="0.3">
      <c r="C20" s="2"/>
      <c r="D20" s="36" t="s">
        <v>33</v>
      </c>
      <c r="E20" s="37">
        <v>0.06</v>
      </c>
      <c r="F20" s="38" t="s">
        <v>10</v>
      </c>
      <c r="G20" s="102" t="s">
        <v>56</v>
      </c>
    </row>
    <row r="21" spans="3:13" ht="16.5" x14ac:dyDescent="0.25">
      <c r="C21" s="2"/>
      <c r="D21" s="39" t="s">
        <v>61</v>
      </c>
      <c r="E21" s="40">
        <v>0</v>
      </c>
      <c r="F21" s="41" t="s">
        <v>62</v>
      </c>
      <c r="G21" s="102" t="s">
        <v>85</v>
      </c>
    </row>
    <row r="22" spans="3:13" ht="16.5" x14ac:dyDescent="0.25">
      <c r="C22" s="2"/>
      <c r="D22" s="62" t="s">
        <v>83</v>
      </c>
      <c r="E22" s="63">
        <v>15</v>
      </c>
      <c r="F22" s="64" t="s">
        <v>62</v>
      </c>
      <c r="G22" s="102" t="s">
        <v>84</v>
      </c>
    </row>
    <row r="23" spans="3:13" ht="17.25" thickBot="1" x14ac:dyDescent="0.3">
      <c r="C23" s="2"/>
      <c r="D23" s="42" t="s">
        <v>63</v>
      </c>
      <c r="E23" s="43">
        <v>0.03</v>
      </c>
      <c r="F23" s="44" t="s">
        <v>8</v>
      </c>
      <c r="G23" s="102" t="s">
        <v>64</v>
      </c>
    </row>
    <row r="24" spans="3:13" ht="16.5" x14ac:dyDescent="0.25">
      <c r="C24" s="2"/>
      <c r="E24" s="34"/>
      <c r="F24" s="35"/>
    </row>
    <row r="25" spans="3:13" ht="16.5" x14ac:dyDescent="0.25">
      <c r="C25" s="1" t="s">
        <v>58</v>
      </c>
      <c r="E25" s="60" t="s">
        <v>98</v>
      </c>
      <c r="F25" s="65">
        <f>E21</f>
        <v>0</v>
      </c>
      <c r="G25" s="65">
        <f>E21</f>
        <v>0</v>
      </c>
      <c r="H25" s="104">
        <f>E22</f>
        <v>15</v>
      </c>
      <c r="J25" s="65">
        <f>F25</f>
        <v>0</v>
      </c>
    </row>
    <row r="26" spans="3:13" ht="16.5" x14ac:dyDescent="0.25">
      <c r="C26" s="2"/>
      <c r="D26" s="7"/>
      <c r="E26" s="8" t="s">
        <v>32</v>
      </c>
      <c r="F26" s="8" t="s">
        <v>94</v>
      </c>
      <c r="G26" s="103" t="s">
        <v>95</v>
      </c>
      <c r="H26" s="8" t="s">
        <v>96</v>
      </c>
      <c r="I26" s="106"/>
      <c r="J26" s="8" t="s">
        <v>97</v>
      </c>
      <c r="K26" s="66">
        <f>N12</f>
        <v>0.8</v>
      </c>
      <c r="L26" s="66">
        <f>N15</f>
        <v>0.19999999999999996</v>
      </c>
      <c r="M26" s="108"/>
    </row>
    <row r="27" spans="3:13" ht="16.5" x14ac:dyDescent="0.25">
      <c r="C27" s="2"/>
      <c r="D27" s="3" t="s">
        <v>26</v>
      </c>
      <c r="E27" s="31">
        <v>0</v>
      </c>
      <c r="F27" s="14">
        <f>E5*E8+E9*E5</f>
        <v>150640</v>
      </c>
      <c r="G27" s="14">
        <f>E5*E7*E12+E9*E5</f>
        <v>273304</v>
      </c>
      <c r="H27" s="105">
        <f>E5*E7*E11*(1+E19)+E5*E10</f>
        <v>723717.60000000009</v>
      </c>
      <c r="J27" s="5">
        <f>N12*F27+P15*E12*1000</f>
        <v>183194.13292549722</v>
      </c>
    </row>
    <row r="28" spans="3:13" ht="16.5" x14ac:dyDescent="0.25">
      <c r="C28" s="2"/>
      <c r="D28" s="113" t="s">
        <v>100</v>
      </c>
      <c r="E28" s="112"/>
      <c r="F28" s="114">
        <f>E18</f>
        <v>0.93880998730311871</v>
      </c>
      <c r="G28" s="114">
        <v>1</v>
      </c>
      <c r="H28" s="115">
        <v>1.1000000000000001</v>
      </c>
      <c r="I28" s="102"/>
      <c r="J28" s="116">
        <v>1</v>
      </c>
    </row>
    <row r="29" spans="3:13" ht="17.25" thickBot="1" x14ac:dyDescent="0.3">
      <c r="C29" s="2"/>
      <c r="D29" s="67" t="s">
        <v>60</v>
      </c>
      <c r="E29" s="68">
        <f>E14*(E5*E7/1000)*E13*E18*((1-POWER(1-E20,E16))/E20-0/12)</f>
        <v>3604297.9196599475</v>
      </c>
      <c r="F29" s="68">
        <f>E14*(E5*E7/1000)*E13*E18*((1-POWER(1-E15,E16))/E15-E3/12)</f>
        <v>4078982.2049127831</v>
      </c>
      <c r="G29" s="68">
        <f>E14*(E5*E7/1000)*E13*((1-POWER(1-E15,E16))/E15-1/12)</f>
        <v>4344843.2164961407</v>
      </c>
      <c r="H29" s="68">
        <f>E14*(E5*E7/1000)*(1+E19)*E13*IF(E16&gt;E4/12,(1-POWER(1-E15,E16-E4/12))/E15,0)</f>
        <v>4315267.6010405663</v>
      </c>
      <c r="J29" s="4">
        <f>G29</f>
        <v>4344843.2164961407</v>
      </c>
    </row>
    <row r="30" spans="3:13" ht="17.25" thickBot="1" x14ac:dyDescent="0.3">
      <c r="C30" s="2"/>
      <c r="D30" s="69" t="s">
        <v>65</v>
      </c>
      <c r="E30" s="70">
        <f>E29</f>
        <v>3604297.9196599475</v>
      </c>
      <c r="F30" s="70">
        <f>F29-F27</f>
        <v>3928342.2049127831</v>
      </c>
      <c r="G30" s="71">
        <f>G29-G27</f>
        <v>4071539.2164961407</v>
      </c>
      <c r="H30" s="72">
        <f>H29-H27</f>
        <v>3591550.0010405662</v>
      </c>
      <c r="I30" s="59"/>
      <c r="J30" s="4">
        <f>J29-J27</f>
        <v>4161649.0835706433</v>
      </c>
    </row>
    <row r="31" spans="3:13" ht="17.25" thickBot="1" x14ac:dyDescent="0.3">
      <c r="C31" s="2"/>
      <c r="D31" s="73"/>
      <c r="E31" s="74"/>
      <c r="F31" s="74"/>
      <c r="G31" s="75"/>
      <c r="H31" s="76"/>
      <c r="I31" s="59"/>
      <c r="J31" s="107"/>
    </row>
    <row r="32" spans="3:13" ht="16.5" x14ac:dyDescent="0.25">
      <c r="C32" s="2"/>
      <c r="D32" s="77" t="s">
        <v>87</v>
      </c>
      <c r="E32" s="78">
        <f>E23*(E5*E7/1000)*E13*E18*((1-POWER(1-E20,(E16+E21)))/E20-0/12)-E23*(E5*E7/1000)*E13*E18*((1-POWER(1-E20,E16))/E20-0/12)</f>
        <v>0</v>
      </c>
      <c r="F32" s="78">
        <f>E23*(E5*E7/1000)*E13*E18*((1-POWER(1-E15,(E16+E21)))/E15-0/12)-E23*(E5*E7/1000)*E13*E18*((1-POWER(1-E15,E16))/E15-0/12)</f>
        <v>0</v>
      </c>
      <c r="G32" s="79">
        <f>E23*(E5*E7/1000)*E13*((1-POWER(1-E15,(E16+E21)))/E15-0/12)-E23*(E5*E7/1000)*E13*((1-POWER(1-E15,E16))/E15-0/12)</f>
        <v>0</v>
      </c>
      <c r="H32" s="80">
        <f>E23*(E5*E7/1000)*(1+E19)*E13*IF(E16&gt;0/12,(1-POWER(1-E15,(E16+E22)-0/12))/E15,0)-E23*(E5*E7/1000)*(1+E19)*E13*IF(E16&gt;0/12,(1-POWER(1-E15,E16-0/12))/E15,0)</f>
        <v>462394.82654359314</v>
      </c>
      <c r="J32" s="61">
        <f>G32</f>
        <v>0</v>
      </c>
    </row>
    <row r="33" spans="3:10" ht="17.25" thickBot="1" x14ac:dyDescent="0.3">
      <c r="C33" s="2"/>
      <c r="D33" s="81" t="s">
        <v>86</v>
      </c>
      <c r="E33" s="82">
        <f>E30+E32</f>
        <v>3604297.9196599475</v>
      </c>
      <c r="F33" s="82">
        <f t="shared" ref="F33:H33" si="0">F30+F32</f>
        <v>3928342.2049127831</v>
      </c>
      <c r="G33" s="82">
        <f t="shared" si="0"/>
        <v>4071539.2164961407</v>
      </c>
      <c r="H33" s="83">
        <f t="shared" si="0"/>
        <v>4053944.8275841596</v>
      </c>
      <c r="J33" s="61">
        <f>J32+J30</f>
        <v>4161649.0835706433</v>
      </c>
    </row>
    <row r="34" spans="3:10" ht="16.5" x14ac:dyDescent="0.25">
      <c r="C34" s="2"/>
      <c r="J34" s="9"/>
    </row>
    <row r="35" spans="3:10" ht="16.5" x14ac:dyDescent="0.25">
      <c r="C35" s="2"/>
      <c r="D35" s="6" t="s">
        <v>59</v>
      </c>
      <c r="E35" s="12">
        <v>0</v>
      </c>
      <c r="F35" s="4">
        <f>F33-E33</f>
        <v>324044.2852528356</v>
      </c>
      <c r="G35" s="11">
        <f>G33-E33</f>
        <v>467241.29683619319</v>
      </c>
      <c r="H35" s="14">
        <f>H33-E33</f>
        <v>449646.90792421205</v>
      </c>
      <c r="J35" s="4">
        <f>J33-E33</f>
        <v>557351.16391069582</v>
      </c>
    </row>
    <row r="36" spans="3:10" ht="16.5" x14ac:dyDescent="0.25">
      <c r="C36" s="2"/>
      <c r="D36" s="9" t="s">
        <v>52</v>
      </c>
      <c r="F36" s="84">
        <f>F35/E33</f>
        <v>8.990496692443449E-2</v>
      </c>
      <c r="G36" s="84">
        <f>G35/E33</f>
        <v>0.12963448284549012</v>
      </c>
      <c r="H36" s="32">
        <f>H35/E33</f>
        <v>0.12475298045468855</v>
      </c>
      <c r="J36" s="23">
        <f>J35/E33</f>
        <v>0.1546351540117083</v>
      </c>
    </row>
    <row r="37" spans="3:10" ht="17.25" thickBot="1" x14ac:dyDescent="0.3">
      <c r="C37" s="2"/>
      <c r="D37" s="9"/>
      <c r="F37" s="100"/>
      <c r="G37" s="100"/>
      <c r="H37" s="101"/>
    </row>
    <row r="38" spans="3:10" x14ac:dyDescent="0.25">
      <c r="D38" s="85" t="s">
        <v>88</v>
      </c>
      <c r="E38" s="86"/>
      <c r="F38" s="87" t="s">
        <v>92</v>
      </c>
      <c r="G38" s="88"/>
      <c r="H38" s="89"/>
    </row>
    <row r="39" spans="3:10" ht="15.75" thickBot="1" x14ac:dyDescent="0.3">
      <c r="D39" s="90"/>
      <c r="E39" s="91"/>
      <c r="F39" s="92" t="s">
        <v>93</v>
      </c>
      <c r="G39" s="92"/>
      <c r="H39" s="93"/>
    </row>
    <row r="40" spans="3:10" x14ac:dyDescent="0.25">
      <c r="D40" s="85" t="s">
        <v>89</v>
      </c>
      <c r="E40" s="86"/>
      <c r="F40" s="94" t="s">
        <v>36</v>
      </c>
      <c r="G40" s="86"/>
      <c r="H40" s="95"/>
    </row>
    <row r="41" spans="3:10" x14ac:dyDescent="0.25">
      <c r="D41" s="96"/>
      <c r="F41" s="15" t="s">
        <v>91</v>
      </c>
      <c r="H41" s="97"/>
    </row>
    <row r="42" spans="3:10" x14ac:dyDescent="0.25">
      <c r="D42" s="96"/>
      <c r="F42" s="15" t="s">
        <v>38</v>
      </c>
      <c r="H42" s="97"/>
    </row>
    <row r="43" spans="3:10" ht="15.75" thickBot="1" x14ac:dyDescent="0.3">
      <c r="D43" s="90"/>
      <c r="E43" s="91"/>
      <c r="F43" s="98" t="s">
        <v>90</v>
      </c>
      <c r="G43" s="91"/>
      <c r="H43" s="99"/>
    </row>
    <row r="44" spans="3:10" x14ac:dyDescent="0.25">
      <c r="F44" s="15"/>
    </row>
    <row r="45" spans="3:10" x14ac:dyDescent="0.25">
      <c r="D45" s="9" t="s">
        <v>46</v>
      </c>
      <c r="E45" t="s">
        <v>47</v>
      </c>
    </row>
    <row r="46" spans="3:10" x14ac:dyDescent="0.25">
      <c r="E46" t="s">
        <v>48</v>
      </c>
    </row>
    <row r="47" spans="3:10" x14ac:dyDescent="0.25">
      <c r="E47" t="s">
        <v>57</v>
      </c>
    </row>
    <row r="48" spans="3:10" x14ac:dyDescent="0.25">
      <c r="E48" t="s">
        <v>54</v>
      </c>
    </row>
    <row r="49" spans="4:13" x14ac:dyDescent="0.25">
      <c r="E49" t="s">
        <v>66</v>
      </c>
    </row>
    <row r="50" spans="4:13" x14ac:dyDescent="0.25">
      <c r="I50" s="110" t="s">
        <v>99</v>
      </c>
    </row>
    <row r="53" spans="4:13" x14ac:dyDescent="0.25">
      <c r="F53" s="111">
        <f>E19</f>
        <v>0.1</v>
      </c>
    </row>
    <row r="56" spans="4:13" x14ac:dyDescent="0.25">
      <c r="D56" s="45">
        <f>-E15</f>
        <v>-4.4999999999999997E-3</v>
      </c>
      <c r="E56" s="46" t="s">
        <v>10</v>
      </c>
      <c r="M56" s="110"/>
    </row>
    <row r="57" spans="4:13" x14ac:dyDescent="0.25">
      <c r="G57" s="45">
        <f>D56</f>
        <v>-4.4999999999999997E-3</v>
      </c>
      <c r="M57" s="110"/>
    </row>
    <row r="61" spans="4:13" x14ac:dyDescent="0.25">
      <c r="G61" s="47">
        <f>-E20</f>
        <v>-0.06</v>
      </c>
    </row>
    <row r="65" spans="5:10" x14ac:dyDescent="0.25">
      <c r="E65" s="48" t="s">
        <v>68</v>
      </c>
      <c r="H65" s="46" t="s">
        <v>70</v>
      </c>
      <c r="J65" t="s">
        <v>70</v>
      </c>
    </row>
    <row r="66" spans="5:10" x14ac:dyDescent="0.25">
      <c r="E66" s="49">
        <f>E16+E17</f>
        <v>20</v>
      </c>
      <c r="F66" s="46" t="s">
        <v>69</v>
      </c>
      <c r="G66" s="50">
        <f>E21</f>
        <v>0</v>
      </c>
      <c r="H66" s="46" t="s">
        <v>69</v>
      </c>
      <c r="I66" s="9">
        <f>E22-E21</f>
        <v>15</v>
      </c>
      <c r="J66" t="s">
        <v>69</v>
      </c>
    </row>
    <row r="67" spans="5:10" x14ac:dyDescent="0.25">
      <c r="E67" s="51">
        <f>E12</f>
        <v>0.3</v>
      </c>
      <c r="F67" s="46" t="str">
        <f>F23</f>
        <v>€/kWh</v>
      </c>
      <c r="G67" s="51">
        <f>E23</f>
        <v>0.03</v>
      </c>
      <c r="H67" s="46" t="str">
        <f>F23</f>
        <v>€/kWh</v>
      </c>
      <c r="I67" s="109">
        <f>E23</f>
        <v>0.03</v>
      </c>
      <c r="J67" s="46" t="str">
        <f>H67</f>
        <v>€/kWh</v>
      </c>
    </row>
    <row r="70" spans="5:10" x14ac:dyDescent="0.25">
      <c r="E70" s="52">
        <f>E17</f>
        <v>14</v>
      </c>
      <c r="F70" s="46" t="s">
        <v>69</v>
      </c>
      <c r="G70" s="52">
        <f>E16+E21</f>
        <v>6</v>
      </c>
      <c r="H70" s="46" t="s">
        <v>69</v>
      </c>
      <c r="I70" s="9">
        <f>I66</f>
        <v>15</v>
      </c>
      <c r="J70" t="s">
        <v>69</v>
      </c>
    </row>
    <row r="75" spans="5:10" x14ac:dyDescent="0.25">
      <c r="I75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1</vt:lpstr>
      <vt:lpstr>Scenario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Padlewski</dc:creator>
  <cp:lastModifiedBy>Stephan Padlewski</cp:lastModifiedBy>
  <dcterms:created xsi:type="dcterms:W3CDTF">2026-04-16T12:06:40Z</dcterms:created>
  <dcterms:modified xsi:type="dcterms:W3CDTF">2026-05-13T13:14:32Z</dcterms:modified>
</cp:coreProperties>
</file>